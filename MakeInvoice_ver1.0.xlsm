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029" codeName="{22E68647-3C60-695B-3CA0-4895CD717B8A}"/>
  <workbookPr codeName="ThisWorkbook"/>
  <mc:AlternateContent xmlns:mc="http://schemas.openxmlformats.org/markup-compatibility/2006">
    <mc:Choice Requires="x15">
      <x15ac:absPath xmlns:x15ac="http://schemas.microsoft.com/office/spreadsheetml/2010/11/ac" url="https://d.docs.live.net/f870f12d751e9674/ドキュメント/〇調/資材折衝/tool/製品版/"/>
    </mc:Choice>
  </mc:AlternateContent>
  <xr:revisionPtr revIDLastSave="17" documentId="8_{71CD675C-3BAF-44B6-988E-4625F1063991}" xr6:coauthVersionLast="40" xr6:coauthVersionMax="40" xr10:uidLastSave="{C1690C1A-D31A-4B7D-BC2E-D26FA325CA42}"/>
  <bookViews>
    <workbookView xWindow="0" yWindow="0" windowWidth="20490" windowHeight="7770" xr2:uid="{00000000-000D-0000-FFFF-FFFF00000000}"/>
  </bookViews>
  <sheets>
    <sheet name="record" sheetId="1" r:id="rId1"/>
    <sheet name="data" sheetId="2" r:id="rId2"/>
    <sheet name="template" sheetId="3" r:id="rId3"/>
  </sheets>
  <definedNames>
    <definedName name="Company_Name">template!$D$4</definedName>
  </definedNames>
  <calcPr calcId="18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4" i="1" l="1"/>
  <c r="E43" i="3" l="1"/>
  <c r="E10" i="3" s="1"/>
  <c r="H13" i="1" l="1"/>
  <c r="H14" i="1"/>
  <c r="H15" i="1"/>
  <c r="H16" i="1"/>
  <c r="H7" i="1"/>
  <c r="H3" i="1"/>
  <c r="H4" i="1"/>
  <c r="H5" i="1"/>
  <c r="H2" i="1"/>
  <c r="H9" i="1"/>
  <c r="H10" i="1"/>
  <c r="H8" i="1"/>
  <c r="H6" i="1"/>
  <c r="H11" i="1"/>
  <c r="H17" i="1"/>
  <c r="H18" i="1"/>
  <c r="H19" i="1"/>
  <c r="H20" i="1"/>
  <c r="H21" i="1"/>
  <c r="H22" i="1"/>
  <c r="H23" i="1"/>
  <c r="H24" i="1"/>
  <c r="H25" i="1"/>
  <c r="H26" i="1"/>
  <c r="H27" i="1"/>
  <c r="H28" i="1"/>
  <c r="H29" i="1"/>
  <c r="H30" i="1"/>
  <c r="H31" i="1"/>
  <c r="H32" i="1"/>
  <c r="H33" i="1"/>
  <c r="H34" i="1"/>
  <c r="H35" i="1"/>
  <c r="H36" i="1"/>
  <c r="H37" i="1"/>
  <c r="H38" i="1"/>
  <c r="H39" i="1"/>
  <c r="H40" i="1"/>
  <c r="H41" i="1"/>
  <c r="H42" i="1"/>
  <c r="H43" i="1"/>
  <c r="H44" i="1"/>
  <c r="H45" i="1"/>
  <c r="H46" i="1"/>
  <c r="H47" i="1"/>
  <c r="H48" i="1"/>
  <c r="H49" i="1"/>
  <c r="H50" i="1"/>
  <c r="H51" i="1"/>
  <c r="H52" i="1"/>
  <c r="H53" i="1"/>
  <c r="H54" i="1"/>
  <c r="H55" i="1"/>
  <c r="H56" i="1"/>
  <c r="H57" i="1"/>
  <c r="H58" i="1"/>
  <c r="H59" i="1"/>
  <c r="H60" i="1"/>
  <c r="H61" i="1"/>
  <c r="H62" i="1"/>
  <c r="H63" i="1"/>
  <c r="H64" i="1"/>
  <c r="H65" i="1"/>
  <c r="H66" i="1"/>
  <c r="H67" i="1"/>
  <c r="H68" i="1"/>
  <c r="H69" i="1"/>
  <c r="H70" i="1"/>
  <c r="H71" i="1"/>
  <c r="H72" i="1"/>
  <c r="H73" i="1"/>
  <c r="H74" i="1"/>
  <c r="H75" i="1"/>
  <c r="H76" i="1"/>
  <c r="H77" i="1"/>
  <c r="H78" i="1"/>
  <c r="H79" i="1"/>
  <c r="H80" i="1"/>
  <c r="H81" i="1"/>
  <c r="H82" i="1"/>
  <c r="H83" i="1"/>
  <c r="H84" i="1"/>
  <c r="H85" i="1"/>
  <c r="H86" i="1"/>
  <c r="H87" i="1"/>
  <c r="H88" i="1"/>
  <c r="H89" i="1"/>
  <c r="H90" i="1"/>
  <c r="H91" i="1"/>
  <c r="H92" i="1"/>
  <c r="H93" i="1"/>
  <c r="H94" i="1"/>
  <c r="H95" i="1"/>
  <c r="H96" i="1"/>
  <c r="H97" i="1"/>
  <c r="H98" i="1"/>
  <c r="H99" i="1"/>
  <c r="H100" i="1"/>
  <c r="H101" i="1"/>
  <c r="H102" i="1"/>
  <c r="H103" i="1"/>
  <c r="H104" i="1"/>
  <c r="H105" i="1"/>
  <c r="H106" i="1"/>
  <c r="H107" i="1"/>
  <c r="H108" i="1"/>
  <c r="H109" i="1"/>
  <c r="H110" i="1"/>
  <c r="H111" i="1"/>
  <c r="H112" i="1"/>
  <c r="H113" i="1"/>
  <c r="H114" i="1"/>
  <c r="H115" i="1"/>
  <c r="H116" i="1"/>
  <c r="H117" i="1"/>
  <c r="H118" i="1"/>
  <c r="H119" i="1"/>
  <c r="H120" i="1"/>
  <c r="H121" i="1"/>
  <c r="H122" i="1"/>
  <c r="H123" i="1"/>
  <c r="H124" i="1"/>
  <c r="H125" i="1"/>
  <c r="H126" i="1"/>
  <c r="H127" i="1"/>
  <c r="H128" i="1"/>
  <c r="H129" i="1"/>
  <c r="H130" i="1"/>
  <c r="H131" i="1"/>
  <c r="H132" i="1"/>
  <c r="H133" i="1"/>
  <c r="H134" i="1"/>
  <c r="H135" i="1"/>
  <c r="H136" i="1"/>
  <c r="H137" i="1"/>
  <c r="H138" i="1"/>
  <c r="H139" i="1"/>
  <c r="H140" i="1"/>
  <c r="H141" i="1"/>
  <c r="H142" i="1"/>
  <c r="H143" i="1"/>
  <c r="H144" i="1"/>
  <c r="H145" i="1"/>
  <c r="H146" i="1"/>
  <c r="H147" i="1"/>
  <c r="H148" i="1"/>
  <c r="H149" i="1"/>
  <c r="H150" i="1"/>
  <c r="H151" i="1"/>
  <c r="H152" i="1"/>
  <c r="H153" i="1"/>
  <c r="H154" i="1"/>
  <c r="H155" i="1"/>
  <c r="H156" i="1"/>
  <c r="H157" i="1"/>
  <c r="H158" i="1"/>
  <c r="H159" i="1"/>
  <c r="H160" i="1"/>
  <c r="H161" i="1"/>
  <c r="H162" i="1"/>
  <c r="H163" i="1"/>
  <c r="H164" i="1"/>
  <c r="H165" i="1"/>
  <c r="H166" i="1"/>
  <c r="H167" i="1"/>
  <c r="H168" i="1"/>
  <c r="H169" i="1"/>
  <c r="H170" i="1"/>
  <c r="H171" i="1"/>
  <c r="H172" i="1"/>
  <c r="H173" i="1"/>
  <c r="H174" i="1"/>
  <c r="H175" i="1"/>
  <c r="H176" i="1"/>
  <c r="H177" i="1"/>
  <c r="H178" i="1"/>
  <c r="H179" i="1"/>
  <c r="H180" i="1"/>
  <c r="H181" i="1"/>
  <c r="H182" i="1"/>
  <c r="H183" i="1"/>
  <c r="H184" i="1"/>
  <c r="H185" i="1"/>
  <c r="H186" i="1"/>
  <c r="H187" i="1"/>
  <c r="H188" i="1"/>
  <c r="H189" i="1"/>
  <c r="H190" i="1"/>
  <c r="H191" i="1"/>
  <c r="H192" i="1"/>
  <c r="H193" i="1"/>
  <c r="H194" i="1"/>
  <c r="H195" i="1"/>
  <c r="H196" i="1"/>
  <c r="H197" i="1"/>
  <c r="H198" i="1"/>
  <c r="H199" i="1"/>
  <c r="H200" i="1"/>
  <c r="H201" i="1"/>
  <c r="H202" i="1"/>
  <c r="H203" i="1"/>
  <c r="H204" i="1"/>
  <c r="H205" i="1"/>
  <c r="H206" i="1"/>
  <c r="H207" i="1"/>
  <c r="H208" i="1"/>
  <c r="H209" i="1"/>
  <c r="H210" i="1"/>
  <c r="H211" i="1"/>
  <c r="H212" i="1"/>
  <c r="H213" i="1"/>
  <c r="H214" i="1"/>
  <c r="H215" i="1"/>
  <c r="H216" i="1"/>
  <c r="H217" i="1"/>
  <c r="H218" i="1"/>
  <c r="H219" i="1"/>
  <c r="H220" i="1"/>
  <c r="H221" i="1"/>
  <c r="H222" i="1"/>
  <c r="H223" i="1"/>
  <c r="H224" i="1"/>
  <c r="H225" i="1"/>
  <c r="H226" i="1"/>
  <c r="H227" i="1"/>
  <c r="H228" i="1"/>
  <c r="H229" i="1"/>
  <c r="H230" i="1"/>
  <c r="H231" i="1"/>
  <c r="H232" i="1"/>
  <c r="H233" i="1"/>
  <c r="H234" i="1"/>
  <c r="H235" i="1"/>
  <c r="H236" i="1"/>
  <c r="H237" i="1"/>
  <c r="H238" i="1"/>
  <c r="H239" i="1"/>
  <c r="H240" i="1"/>
  <c r="H241" i="1"/>
  <c r="H242" i="1"/>
  <c r="H243" i="1"/>
  <c r="H244" i="1"/>
  <c r="H245" i="1"/>
  <c r="H246" i="1"/>
  <c r="H247" i="1"/>
  <c r="H248" i="1"/>
  <c r="H249" i="1"/>
  <c r="H250" i="1"/>
  <c r="H251" i="1"/>
  <c r="H252" i="1"/>
  <c r="H253" i="1"/>
  <c r="H254" i="1"/>
  <c r="H255" i="1"/>
  <c r="H256" i="1"/>
  <c r="H257" i="1"/>
  <c r="H258" i="1"/>
  <c r="H259" i="1"/>
  <c r="H260" i="1"/>
  <c r="H261" i="1"/>
  <c r="H262" i="1"/>
  <c r="H263" i="1"/>
  <c r="H264" i="1"/>
  <c r="H265" i="1"/>
  <c r="H266" i="1"/>
  <c r="H267" i="1"/>
  <c r="H268" i="1"/>
  <c r="H269" i="1"/>
  <c r="H270" i="1"/>
  <c r="H271" i="1"/>
  <c r="H272" i="1"/>
  <c r="H273" i="1"/>
  <c r="H274" i="1"/>
  <c r="H275" i="1"/>
  <c r="H276" i="1"/>
  <c r="H277" i="1"/>
  <c r="H278" i="1"/>
  <c r="H279" i="1"/>
  <c r="H280" i="1"/>
  <c r="H281" i="1"/>
  <c r="H282" i="1"/>
  <c r="H283" i="1"/>
  <c r="H284" i="1"/>
  <c r="H285" i="1"/>
  <c r="H286" i="1"/>
  <c r="H287" i="1"/>
  <c r="H288" i="1"/>
  <c r="H289" i="1"/>
  <c r="H290" i="1"/>
  <c r="H291" i="1"/>
  <c r="H292" i="1"/>
  <c r="H293" i="1"/>
  <c r="H294" i="1"/>
  <c r="H295" i="1"/>
  <c r="H296" i="1"/>
  <c r="H297" i="1"/>
  <c r="H298" i="1"/>
  <c r="H299" i="1"/>
  <c r="H300" i="1"/>
  <c r="H301" i="1"/>
  <c r="H302" i="1"/>
  <c r="H303" i="1"/>
  <c r="H304" i="1"/>
  <c r="H305" i="1"/>
  <c r="H306" i="1"/>
  <c r="H307" i="1"/>
  <c r="H308" i="1"/>
  <c r="H309" i="1"/>
  <c r="H310" i="1"/>
  <c r="H311" i="1"/>
  <c r="H312" i="1"/>
  <c r="H313" i="1"/>
  <c r="H314" i="1"/>
  <c r="H315" i="1"/>
  <c r="H316" i="1"/>
  <c r="H317" i="1"/>
  <c r="H318" i="1"/>
  <c r="H319" i="1"/>
  <c r="H320" i="1"/>
  <c r="H321" i="1"/>
  <c r="H322" i="1"/>
  <c r="H323" i="1"/>
  <c r="H324" i="1"/>
  <c r="H325" i="1"/>
  <c r="H326" i="1"/>
  <c r="H327" i="1"/>
  <c r="H328" i="1"/>
  <c r="H329" i="1"/>
  <c r="H330" i="1"/>
  <c r="H331" i="1"/>
  <c r="H332" i="1"/>
  <c r="H333" i="1"/>
  <c r="H334" i="1"/>
  <c r="H335" i="1"/>
  <c r="H336" i="1"/>
  <c r="H337" i="1"/>
  <c r="H338" i="1"/>
  <c r="H339" i="1"/>
  <c r="H340" i="1"/>
  <c r="H341" i="1"/>
  <c r="H342" i="1"/>
  <c r="H343" i="1"/>
  <c r="H344" i="1"/>
  <c r="H345" i="1"/>
  <c r="H346" i="1"/>
  <c r="H347" i="1"/>
  <c r="H348" i="1"/>
  <c r="H349" i="1"/>
  <c r="H350" i="1"/>
  <c r="H351" i="1"/>
  <c r="H352" i="1"/>
  <c r="H353" i="1"/>
  <c r="H354" i="1"/>
  <c r="H355" i="1"/>
  <c r="H356" i="1"/>
  <c r="H357" i="1"/>
  <c r="H358" i="1"/>
  <c r="H359" i="1"/>
  <c r="H360" i="1"/>
  <c r="H361" i="1"/>
  <c r="H362" i="1"/>
  <c r="H363" i="1"/>
  <c r="H364" i="1"/>
  <c r="H365" i="1"/>
  <c r="H366" i="1"/>
  <c r="H367" i="1"/>
  <c r="H368" i="1"/>
  <c r="H369" i="1"/>
  <c r="H370" i="1"/>
  <c r="H371" i="1"/>
  <c r="H372" i="1"/>
  <c r="H373" i="1"/>
  <c r="H374" i="1"/>
  <c r="H375" i="1"/>
  <c r="H376" i="1"/>
  <c r="H377" i="1"/>
  <c r="H378" i="1"/>
  <c r="H379" i="1"/>
  <c r="H380" i="1"/>
  <c r="H381" i="1"/>
  <c r="H382" i="1"/>
  <c r="H383" i="1"/>
  <c r="H384" i="1"/>
  <c r="H385" i="1"/>
  <c r="H386" i="1"/>
  <c r="H387" i="1"/>
  <c r="H388" i="1"/>
  <c r="H389" i="1"/>
  <c r="H390" i="1"/>
  <c r="H391" i="1"/>
  <c r="H392" i="1"/>
  <c r="H393" i="1"/>
  <c r="H394" i="1"/>
  <c r="H395" i="1"/>
  <c r="H396" i="1"/>
  <c r="H397" i="1"/>
  <c r="H398" i="1"/>
  <c r="H399" i="1"/>
  <c r="H400" i="1"/>
  <c r="H401" i="1"/>
  <c r="H402" i="1"/>
  <c r="H403" i="1"/>
  <c r="H404" i="1"/>
  <c r="H405" i="1"/>
  <c r="H406" i="1"/>
  <c r="H407" i="1"/>
  <c r="H408" i="1"/>
  <c r="H409" i="1"/>
  <c r="H410" i="1"/>
  <c r="H411" i="1"/>
  <c r="H412" i="1"/>
  <c r="H413" i="1"/>
  <c r="H414" i="1"/>
  <c r="H415" i="1"/>
  <c r="H416" i="1"/>
  <c r="H417" i="1"/>
  <c r="H418" i="1"/>
  <c r="H419" i="1"/>
  <c r="H420" i="1"/>
  <c r="H421" i="1"/>
  <c r="H422" i="1"/>
  <c r="H423" i="1"/>
  <c r="H424" i="1"/>
  <c r="H425" i="1"/>
  <c r="H426" i="1"/>
  <c r="H427" i="1"/>
  <c r="H428" i="1"/>
  <c r="H429" i="1"/>
  <c r="H430" i="1"/>
  <c r="H431" i="1"/>
  <c r="H432" i="1"/>
  <c r="H433" i="1"/>
  <c r="H434" i="1"/>
  <c r="H435" i="1"/>
  <c r="H436" i="1"/>
  <c r="H437" i="1"/>
  <c r="H438" i="1"/>
  <c r="H439" i="1"/>
  <c r="H440" i="1"/>
  <c r="H441" i="1"/>
  <c r="H442" i="1"/>
  <c r="H443" i="1"/>
  <c r="H444" i="1"/>
  <c r="H445" i="1"/>
  <c r="H446" i="1"/>
  <c r="H447" i="1"/>
  <c r="H448" i="1"/>
  <c r="H449" i="1"/>
  <c r="H450" i="1"/>
  <c r="H451" i="1"/>
  <c r="H452" i="1"/>
  <c r="H453" i="1"/>
  <c r="H454" i="1"/>
  <c r="H455" i="1"/>
  <c r="H456" i="1"/>
  <c r="H457" i="1"/>
  <c r="H458" i="1"/>
  <c r="H459" i="1"/>
  <c r="H460" i="1"/>
  <c r="H461" i="1"/>
  <c r="H462" i="1"/>
  <c r="H463" i="1"/>
  <c r="H464" i="1"/>
  <c r="H465" i="1"/>
  <c r="H466" i="1"/>
  <c r="H467" i="1"/>
  <c r="H468" i="1"/>
  <c r="H469" i="1"/>
  <c r="H470" i="1"/>
  <c r="H471" i="1"/>
  <c r="H472" i="1"/>
  <c r="H473" i="1"/>
  <c r="H474" i="1"/>
  <c r="H475" i="1"/>
  <c r="H476" i="1"/>
  <c r="H477" i="1"/>
  <c r="H478" i="1"/>
  <c r="H479" i="1"/>
  <c r="H480" i="1"/>
  <c r="H481" i="1"/>
  <c r="H482" i="1"/>
  <c r="H483" i="1"/>
  <c r="H484" i="1"/>
  <c r="H485" i="1"/>
  <c r="H486" i="1"/>
  <c r="H487" i="1"/>
  <c r="H488" i="1"/>
  <c r="H489" i="1"/>
  <c r="H490" i="1"/>
  <c r="H491" i="1"/>
  <c r="H492" i="1"/>
  <c r="H493" i="1"/>
  <c r="H494" i="1"/>
  <c r="H495" i="1"/>
  <c r="H496" i="1"/>
  <c r="H497" i="1"/>
  <c r="H498" i="1"/>
  <c r="H499" i="1"/>
  <c r="H500" i="1"/>
  <c r="H501" i="1"/>
  <c r="H502" i="1"/>
  <c r="H503" i="1"/>
  <c r="H504" i="1"/>
  <c r="H505" i="1"/>
  <c r="H506" i="1"/>
  <c r="H507" i="1"/>
  <c r="H508" i="1"/>
  <c r="H509" i="1"/>
  <c r="H510" i="1"/>
  <c r="H511" i="1"/>
  <c r="H512" i="1"/>
  <c r="H513" i="1"/>
  <c r="H514" i="1"/>
  <c r="H515" i="1"/>
  <c r="H516" i="1"/>
  <c r="H517" i="1"/>
  <c r="H518" i="1"/>
  <c r="H519" i="1"/>
  <c r="H520" i="1"/>
  <c r="H521" i="1"/>
  <c r="H522" i="1"/>
  <c r="H523" i="1"/>
  <c r="H524" i="1"/>
  <c r="H525" i="1"/>
  <c r="H526" i="1"/>
  <c r="H527" i="1"/>
  <c r="H528" i="1"/>
  <c r="H529" i="1"/>
  <c r="H530" i="1"/>
  <c r="H531" i="1"/>
  <c r="H532" i="1"/>
  <c r="H533" i="1"/>
  <c r="H534" i="1"/>
  <c r="H535" i="1"/>
  <c r="H536" i="1"/>
  <c r="H537" i="1"/>
  <c r="H538" i="1"/>
  <c r="H539" i="1"/>
  <c r="H540" i="1"/>
  <c r="H541" i="1"/>
  <c r="H542" i="1"/>
  <c r="H543" i="1"/>
  <c r="H544" i="1"/>
  <c r="H545" i="1"/>
  <c r="H546" i="1"/>
  <c r="H547" i="1"/>
  <c r="H548" i="1"/>
  <c r="H549" i="1"/>
  <c r="H550" i="1"/>
  <c r="H551" i="1"/>
  <c r="H552" i="1"/>
  <c r="H553" i="1"/>
  <c r="H554" i="1"/>
  <c r="H555" i="1"/>
  <c r="H556" i="1"/>
  <c r="H557" i="1"/>
  <c r="H558" i="1"/>
  <c r="H559" i="1"/>
  <c r="H560" i="1"/>
  <c r="H561" i="1"/>
  <c r="H562" i="1"/>
  <c r="H563" i="1"/>
  <c r="H564" i="1"/>
  <c r="H565" i="1"/>
  <c r="H566" i="1"/>
  <c r="H567" i="1"/>
  <c r="H568" i="1"/>
  <c r="H569" i="1"/>
  <c r="H570" i="1"/>
  <c r="H571" i="1"/>
  <c r="H572" i="1"/>
  <c r="H573" i="1"/>
  <c r="H574" i="1"/>
  <c r="H575" i="1"/>
  <c r="H576" i="1"/>
  <c r="H577" i="1"/>
  <c r="H578" i="1"/>
  <c r="H579" i="1"/>
  <c r="H580" i="1"/>
  <c r="H581" i="1"/>
  <c r="H582" i="1"/>
  <c r="H583" i="1"/>
  <c r="H584" i="1"/>
  <c r="H585" i="1"/>
  <c r="H586" i="1"/>
  <c r="H587" i="1"/>
  <c r="H588" i="1"/>
  <c r="H589" i="1"/>
  <c r="H590" i="1"/>
  <c r="H591" i="1"/>
  <c r="H592" i="1"/>
  <c r="H593" i="1"/>
  <c r="H594" i="1"/>
  <c r="H595" i="1"/>
  <c r="H596" i="1"/>
  <c r="H597" i="1"/>
  <c r="H598" i="1"/>
  <c r="H599" i="1"/>
  <c r="H600" i="1"/>
  <c r="H601" i="1"/>
  <c r="H602" i="1"/>
  <c r="H603" i="1"/>
  <c r="H604" i="1"/>
  <c r="H605" i="1"/>
  <c r="H606" i="1"/>
  <c r="H607" i="1"/>
  <c r="H608" i="1"/>
  <c r="H609" i="1"/>
  <c r="H610" i="1"/>
  <c r="H611" i="1"/>
  <c r="H612" i="1"/>
  <c r="H613" i="1"/>
  <c r="H614" i="1"/>
  <c r="H615" i="1"/>
  <c r="H616" i="1"/>
  <c r="H617" i="1"/>
  <c r="H618" i="1"/>
  <c r="H619" i="1"/>
  <c r="H620" i="1"/>
  <c r="H621" i="1"/>
  <c r="H622" i="1"/>
  <c r="H623" i="1"/>
  <c r="H624" i="1"/>
  <c r="H625" i="1"/>
  <c r="H626" i="1"/>
  <c r="H627" i="1"/>
  <c r="H628" i="1"/>
  <c r="H629" i="1"/>
  <c r="H630" i="1"/>
  <c r="H631" i="1"/>
  <c r="H632" i="1"/>
  <c r="H633" i="1"/>
  <c r="H634" i="1"/>
  <c r="H635" i="1"/>
  <c r="H636" i="1"/>
  <c r="H637" i="1"/>
  <c r="H638" i="1"/>
  <c r="H639" i="1"/>
  <c r="H640" i="1"/>
  <c r="H641" i="1"/>
  <c r="H642" i="1"/>
  <c r="H643" i="1"/>
  <c r="H644" i="1"/>
  <c r="H645" i="1"/>
  <c r="H646" i="1"/>
  <c r="H647" i="1"/>
  <c r="H648" i="1"/>
  <c r="H649" i="1"/>
  <c r="H650" i="1"/>
  <c r="H651" i="1"/>
  <c r="H652" i="1"/>
  <c r="H653" i="1"/>
  <c r="H654" i="1"/>
  <c r="H655" i="1"/>
  <c r="H656" i="1"/>
  <c r="H657" i="1"/>
  <c r="H658" i="1"/>
  <c r="H659" i="1"/>
  <c r="H660" i="1"/>
  <c r="H661" i="1"/>
  <c r="H662" i="1"/>
  <c r="H663" i="1"/>
  <c r="H664" i="1"/>
  <c r="H665" i="1"/>
  <c r="H666" i="1"/>
  <c r="H667" i="1"/>
  <c r="H668" i="1"/>
  <c r="H669" i="1"/>
  <c r="H670" i="1"/>
  <c r="H671" i="1"/>
  <c r="H672" i="1"/>
  <c r="H673" i="1"/>
  <c r="H674" i="1"/>
  <c r="H675" i="1"/>
  <c r="H676" i="1"/>
  <c r="H677" i="1"/>
  <c r="H678" i="1"/>
  <c r="H679" i="1"/>
  <c r="H680" i="1"/>
  <c r="H681" i="1"/>
  <c r="H682" i="1"/>
  <c r="H683" i="1"/>
  <c r="H684" i="1"/>
  <c r="H685" i="1"/>
  <c r="H686" i="1"/>
  <c r="H687" i="1"/>
  <c r="H688" i="1"/>
  <c r="H689" i="1"/>
  <c r="H690" i="1"/>
  <c r="H691" i="1"/>
  <c r="H692" i="1"/>
  <c r="H693" i="1"/>
  <c r="H694" i="1"/>
  <c r="H695" i="1"/>
  <c r="H696" i="1"/>
  <c r="H697" i="1"/>
  <c r="H698" i="1"/>
  <c r="H699" i="1"/>
  <c r="H700" i="1"/>
  <c r="H701" i="1"/>
  <c r="H702" i="1"/>
  <c r="H703" i="1"/>
  <c r="H704" i="1"/>
  <c r="H705" i="1"/>
  <c r="H706" i="1"/>
  <c r="H707" i="1"/>
  <c r="H708" i="1"/>
  <c r="H709" i="1"/>
  <c r="H710" i="1"/>
  <c r="H711" i="1"/>
  <c r="H712" i="1"/>
  <c r="H713" i="1"/>
  <c r="H714" i="1"/>
  <c r="H715" i="1"/>
  <c r="H716" i="1"/>
  <c r="H717" i="1"/>
  <c r="H718" i="1"/>
  <c r="H719" i="1"/>
  <c r="H720" i="1"/>
  <c r="H721" i="1"/>
  <c r="H722" i="1"/>
  <c r="H723" i="1"/>
  <c r="H724" i="1"/>
  <c r="H725" i="1"/>
  <c r="H726" i="1"/>
  <c r="H727" i="1"/>
  <c r="H728" i="1"/>
  <c r="H729" i="1"/>
  <c r="H730" i="1"/>
  <c r="H731" i="1"/>
  <c r="H732" i="1"/>
  <c r="H733" i="1"/>
  <c r="H734" i="1"/>
  <c r="H735" i="1"/>
  <c r="H736" i="1"/>
  <c r="H737" i="1"/>
  <c r="H738" i="1"/>
  <c r="H739" i="1"/>
  <c r="H740" i="1"/>
  <c r="H741" i="1"/>
  <c r="H742" i="1"/>
  <c r="H743" i="1"/>
  <c r="H744" i="1"/>
  <c r="H745" i="1"/>
  <c r="H746" i="1"/>
  <c r="H747" i="1"/>
  <c r="H748" i="1"/>
  <c r="H749" i="1"/>
  <c r="H750" i="1"/>
  <c r="H751" i="1"/>
  <c r="H752" i="1"/>
  <c r="H753" i="1"/>
  <c r="H754" i="1"/>
  <c r="H755" i="1"/>
  <c r="H756" i="1"/>
  <c r="H757" i="1"/>
  <c r="H758" i="1"/>
  <c r="H759" i="1"/>
  <c r="H760" i="1"/>
  <c r="H761" i="1"/>
  <c r="H762" i="1"/>
  <c r="H763" i="1"/>
  <c r="H764" i="1"/>
  <c r="H765" i="1"/>
  <c r="H766" i="1"/>
  <c r="H767" i="1"/>
  <c r="H768" i="1"/>
  <c r="H769" i="1"/>
  <c r="H770" i="1"/>
  <c r="H771" i="1"/>
  <c r="H772" i="1"/>
  <c r="H773" i="1"/>
  <c r="H774" i="1"/>
  <c r="H775" i="1"/>
  <c r="H776" i="1"/>
  <c r="H777" i="1"/>
  <c r="H778" i="1"/>
  <c r="H779" i="1"/>
  <c r="H780" i="1"/>
  <c r="H781" i="1"/>
  <c r="H782" i="1"/>
  <c r="H783" i="1"/>
  <c r="H784" i="1"/>
  <c r="H785" i="1"/>
  <c r="H786" i="1"/>
  <c r="H787" i="1"/>
  <c r="H788" i="1"/>
  <c r="H789" i="1"/>
  <c r="H790" i="1"/>
  <c r="H791" i="1"/>
  <c r="H792" i="1"/>
  <c r="H793" i="1"/>
  <c r="H794" i="1"/>
  <c r="H795" i="1"/>
  <c r="H796" i="1"/>
  <c r="H797" i="1"/>
  <c r="H798" i="1"/>
  <c r="H799" i="1"/>
  <c r="H800" i="1"/>
  <c r="H801" i="1"/>
  <c r="H802" i="1"/>
  <c r="H803" i="1"/>
  <c r="H804" i="1"/>
  <c r="H805" i="1"/>
  <c r="H806" i="1"/>
  <c r="H807" i="1"/>
  <c r="H808" i="1"/>
  <c r="H809" i="1"/>
  <c r="H810" i="1"/>
  <c r="H811" i="1"/>
  <c r="H812" i="1"/>
  <c r="H813" i="1"/>
  <c r="H814" i="1"/>
  <c r="H815" i="1"/>
  <c r="H816" i="1"/>
  <c r="H817" i="1"/>
  <c r="H818" i="1"/>
  <c r="H819" i="1"/>
  <c r="H820" i="1"/>
  <c r="H821" i="1"/>
  <c r="H822" i="1"/>
  <c r="H823" i="1"/>
  <c r="H824" i="1"/>
  <c r="H825" i="1"/>
  <c r="H826" i="1"/>
  <c r="H827" i="1"/>
  <c r="H828" i="1"/>
  <c r="H829" i="1"/>
  <c r="H830" i="1"/>
  <c r="H831" i="1"/>
  <c r="H832" i="1"/>
  <c r="H833" i="1"/>
  <c r="H834" i="1"/>
  <c r="H835" i="1"/>
  <c r="H836" i="1"/>
  <c r="H837" i="1"/>
  <c r="H838" i="1"/>
  <c r="H839" i="1"/>
  <c r="H840" i="1"/>
  <c r="H841" i="1"/>
  <c r="H842" i="1"/>
  <c r="H843" i="1"/>
  <c r="H844" i="1"/>
  <c r="H845" i="1"/>
  <c r="H846" i="1"/>
  <c r="H847" i="1"/>
  <c r="H848" i="1"/>
  <c r="H849" i="1"/>
  <c r="H850" i="1"/>
  <c r="H851" i="1"/>
  <c r="H852" i="1"/>
  <c r="H853" i="1"/>
  <c r="H854" i="1"/>
  <c r="H855" i="1"/>
  <c r="H856" i="1"/>
  <c r="H857" i="1"/>
  <c r="H858" i="1"/>
  <c r="H859" i="1"/>
  <c r="H860" i="1"/>
  <c r="H861" i="1"/>
  <c r="H862" i="1"/>
  <c r="H863" i="1"/>
  <c r="H864" i="1"/>
  <c r="H865" i="1"/>
  <c r="H866" i="1"/>
  <c r="H867" i="1"/>
  <c r="H868" i="1"/>
  <c r="H869" i="1"/>
  <c r="H870" i="1"/>
  <c r="H871" i="1"/>
  <c r="H872" i="1"/>
  <c r="H873" i="1"/>
  <c r="H874" i="1"/>
  <c r="H875" i="1"/>
  <c r="H876" i="1"/>
  <c r="H877" i="1"/>
  <c r="H878" i="1"/>
  <c r="H879" i="1"/>
  <c r="H880" i="1"/>
  <c r="H881" i="1"/>
  <c r="H882" i="1"/>
  <c r="H883" i="1"/>
  <c r="H884" i="1"/>
  <c r="H885" i="1"/>
  <c r="H886" i="1"/>
  <c r="H887" i="1"/>
  <c r="H888" i="1"/>
  <c r="H889" i="1"/>
  <c r="H890" i="1"/>
  <c r="H891" i="1"/>
  <c r="H892" i="1"/>
  <c r="H893" i="1"/>
  <c r="H894" i="1"/>
  <c r="H895" i="1"/>
  <c r="H896" i="1"/>
  <c r="H897" i="1"/>
  <c r="H898" i="1"/>
  <c r="H899" i="1"/>
  <c r="H900" i="1"/>
  <c r="H901" i="1"/>
  <c r="H902" i="1"/>
  <c r="H903" i="1"/>
  <c r="H904" i="1"/>
  <c r="H905" i="1"/>
  <c r="H906" i="1"/>
  <c r="H907" i="1"/>
  <c r="H908" i="1"/>
  <c r="H909" i="1"/>
  <c r="H910" i="1"/>
  <c r="H911" i="1"/>
  <c r="H912" i="1"/>
  <c r="H913" i="1"/>
  <c r="H914" i="1"/>
  <c r="H915" i="1"/>
  <c r="H916" i="1"/>
  <c r="H917" i="1"/>
  <c r="H918" i="1"/>
  <c r="H919" i="1"/>
  <c r="H920" i="1"/>
  <c r="H921" i="1"/>
  <c r="H922" i="1"/>
  <c r="H923" i="1"/>
  <c r="H924" i="1"/>
  <c r="H925" i="1"/>
  <c r="H926" i="1"/>
  <c r="H927" i="1"/>
  <c r="H928" i="1"/>
  <c r="H929" i="1"/>
  <c r="H930" i="1"/>
  <c r="H931" i="1"/>
  <c r="H932" i="1"/>
  <c r="H933" i="1"/>
  <c r="H934" i="1"/>
  <c r="H935" i="1"/>
  <c r="H936" i="1"/>
  <c r="H937" i="1"/>
  <c r="H938" i="1"/>
  <c r="H939" i="1"/>
  <c r="H940" i="1"/>
  <c r="H941" i="1"/>
  <c r="H942" i="1"/>
  <c r="H943" i="1"/>
  <c r="H944" i="1"/>
  <c r="H945" i="1"/>
  <c r="H946" i="1"/>
  <c r="H947" i="1"/>
  <c r="H948" i="1"/>
  <c r="H949" i="1"/>
  <c r="H950" i="1"/>
  <c r="H951" i="1"/>
  <c r="H952" i="1"/>
  <c r="H953" i="1"/>
  <c r="H954" i="1"/>
  <c r="H955" i="1"/>
  <c r="H956" i="1"/>
  <c r="H957" i="1"/>
  <c r="H958" i="1"/>
  <c r="H959" i="1"/>
  <c r="H960" i="1"/>
  <c r="H961" i="1"/>
  <c r="H962" i="1"/>
  <c r="H963" i="1"/>
  <c r="H964" i="1"/>
  <c r="H965" i="1"/>
  <c r="H966" i="1"/>
  <c r="H967" i="1"/>
  <c r="H968" i="1"/>
  <c r="H969" i="1"/>
  <c r="H970" i="1"/>
  <c r="H971" i="1"/>
  <c r="H972" i="1"/>
  <c r="H973" i="1"/>
  <c r="H974" i="1"/>
  <c r="H975" i="1"/>
  <c r="H976" i="1"/>
  <c r="H977" i="1"/>
  <c r="H978" i="1"/>
  <c r="H979" i="1"/>
  <c r="H980" i="1"/>
  <c r="H981" i="1"/>
  <c r="H982" i="1"/>
  <c r="H983" i="1"/>
  <c r="H984" i="1"/>
  <c r="H985" i="1"/>
  <c r="H986" i="1"/>
  <c r="H987" i="1"/>
  <c r="H988" i="1"/>
  <c r="H989" i="1"/>
  <c r="H990" i="1"/>
  <c r="H991" i="1"/>
  <c r="H992" i="1"/>
  <c r="H993" i="1"/>
  <c r="H994" i="1"/>
  <c r="H995" i="1"/>
  <c r="H996" i="1"/>
  <c r="H997" i="1"/>
  <c r="H998" i="1"/>
  <c r="H999" i="1"/>
  <c r="H1000" i="1"/>
  <c r="H1001" i="1"/>
  <c r="H1002" i="1"/>
  <c r="H1003" i="1"/>
  <c r="H1004" i="1"/>
  <c r="H1005" i="1"/>
  <c r="H1006" i="1"/>
  <c r="H1007" i="1"/>
  <c r="H1008" i="1"/>
  <c r="H1009" i="1"/>
  <c r="H1010" i="1"/>
  <c r="H1011" i="1"/>
  <c r="H1012" i="1"/>
  <c r="H1013" i="1"/>
  <c r="H1014" i="1"/>
  <c r="H1015" i="1"/>
  <c r="H1016" i="1"/>
  <c r="H1017" i="1"/>
  <c r="H1018" i="1"/>
  <c r="H1019" i="1"/>
  <c r="H1020" i="1"/>
  <c r="H1021" i="1"/>
  <c r="H1022" i="1"/>
  <c r="H1023" i="1"/>
  <c r="H1024" i="1"/>
  <c r="H1025" i="1"/>
  <c r="H1026" i="1"/>
  <c r="H1027" i="1"/>
  <c r="H1028" i="1"/>
  <c r="H1029" i="1"/>
  <c r="H1030" i="1"/>
  <c r="H1031" i="1"/>
  <c r="H1032" i="1"/>
  <c r="H1033" i="1"/>
  <c r="H1034" i="1"/>
  <c r="H1035" i="1"/>
  <c r="H1036" i="1"/>
  <c r="H1037" i="1"/>
  <c r="H1038" i="1"/>
  <c r="H1039" i="1"/>
  <c r="H1040" i="1"/>
  <c r="H1041" i="1"/>
  <c r="H1042" i="1"/>
  <c r="H1043" i="1"/>
  <c r="H1044" i="1"/>
  <c r="H1045" i="1"/>
  <c r="H1046" i="1"/>
  <c r="H1047" i="1"/>
  <c r="H1048" i="1"/>
  <c r="H1049" i="1"/>
  <c r="H1050" i="1"/>
  <c r="H1051" i="1"/>
  <c r="H1052" i="1"/>
  <c r="H1053" i="1"/>
  <c r="H1054" i="1"/>
  <c r="H1055" i="1"/>
  <c r="H1056" i="1"/>
  <c r="H1057" i="1"/>
  <c r="H1058" i="1"/>
  <c r="H1059" i="1"/>
  <c r="H1060" i="1"/>
  <c r="H1061" i="1"/>
  <c r="H1062" i="1"/>
  <c r="H1063" i="1"/>
  <c r="H1064" i="1"/>
  <c r="H1065" i="1"/>
  <c r="H1066" i="1"/>
  <c r="H1067" i="1"/>
  <c r="H1068" i="1"/>
  <c r="H1069" i="1"/>
  <c r="H1070" i="1"/>
  <c r="H1071" i="1"/>
  <c r="H1072" i="1"/>
  <c r="H1073" i="1"/>
  <c r="H1074" i="1"/>
  <c r="H1075" i="1"/>
  <c r="H1076" i="1"/>
  <c r="H1077" i="1"/>
  <c r="H1078" i="1"/>
  <c r="H1079" i="1"/>
  <c r="H1080" i="1"/>
  <c r="H1081" i="1"/>
  <c r="H1082" i="1"/>
  <c r="H1083" i="1"/>
  <c r="H1084" i="1"/>
  <c r="H1085" i="1"/>
  <c r="H1086" i="1"/>
  <c r="H1087" i="1"/>
  <c r="H1088" i="1"/>
  <c r="H1089" i="1"/>
  <c r="H1090" i="1"/>
  <c r="H1091" i="1"/>
  <c r="H1092" i="1"/>
  <c r="H1093" i="1"/>
  <c r="H1094" i="1"/>
  <c r="H1095" i="1"/>
  <c r="H1096" i="1"/>
  <c r="H1097" i="1"/>
  <c r="H1098" i="1"/>
  <c r="H1099" i="1"/>
  <c r="H1100" i="1"/>
  <c r="H1101" i="1"/>
  <c r="H1102" i="1"/>
  <c r="H1103" i="1"/>
  <c r="H1104" i="1"/>
  <c r="H1105" i="1"/>
  <c r="H1106" i="1"/>
  <c r="H1107" i="1"/>
  <c r="H1108" i="1"/>
  <c r="H1109" i="1"/>
  <c r="H1110" i="1"/>
  <c r="H1111" i="1"/>
  <c r="H1112" i="1"/>
  <c r="H1113" i="1"/>
  <c r="H1114" i="1"/>
  <c r="H1115" i="1"/>
  <c r="H1116" i="1"/>
  <c r="H1117" i="1"/>
  <c r="H1118" i="1"/>
  <c r="H1119" i="1"/>
  <c r="H1120" i="1"/>
  <c r="H1121" i="1"/>
  <c r="H1122" i="1"/>
  <c r="H1123" i="1"/>
  <c r="H1124" i="1"/>
  <c r="H1125" i="1"/>
  <c r="H1126" i="1"/>
  <c r="H1127" i="1"/>
  <c r="H1128" i="1"/>
  <c r="H1129" i="1"/>
  <c r="H1130" i="1"/>
  <c r="H1131" i="1"/>
  <c r="H1132" i="1"/>
  <c r="H1133" i="1"/>
  <c r="H1134" i="1"/>
  <c r="H1135" i="1"/>
  <c r="H1136" i="1"/>
  <c r="H1137" i="1"/>
  <c r="H1138" i="1"/>
  <c r="H1139" i="1"/>
  <c r="H1140" i="1"/>
  <c r="H1141" i="1"/>
  <c r="H1142" i="1"/>
  <c r="H1143" i="1"/>
  <c r="H1144" i="1"/>
  <c r="H1145" i="1"/>
  <c r="H1146" i="1"/>
  <c r="H1147" i="1"/>
  <c r="H1148" i="1"/>
  <c r="H1149" i="1"/>
  <c r="H1150" i="1"/>
  <c r="H1151" i="1"/>
  <c r="H1152" i="1"/>
  <c r="H1153" i="1"/>
  <c r="H1154" i="1"/>
  <c r="H1155" i="1"/>
  <c r="H1156" i="1"/>
  <c r="H1157" i="1"/>
  <c r="H1158" i="1"/>
  <c r="H1159" i="1"/>
  <c r="H1160" i="1"/>
  <c r="H1161" i="1"/>
  <c r="H1162" i="1"/>
  <c r="H1163" i="1"/>
  <c r="H1164" i="1"/>
  <c r="H1165" i="1"/>
  <c r="H1166" i="1"/>
  <c r="H1167" i="1"/>
  <c r="H1168" i="1"/>
  <c r="H1169" i="1"/>
  <c r="H1170" i="1"/>
  <c r="H1171" i="1"/>
  <c r="H1172" i="1"/>
  <c r="H1173" i="1"/>
  <c r="H1174" i="1"/>
  <c r="H1175" i="1"/>
  <c r="H1176" i="1"/>
  <c r="H1177" i="1"/>
  <c r="H1178" i="1"/>
  <c r="H1179" i="1"/>
  <c r="H1180" i="1"/>
  <c r="H1181" i="1"/>
  <c r="H1182" i="1"/>
  <c r="H1183" i="1"/>
  <c r="H1184" i="1"/>
  <c r="H1185" i="1"/>
  <c r="H1186" i="1"/>
  <c r="H1187" i="1"/>
  <c r="H1188" i="1"/>
  <c r="H1189" i="1"/>
  <c r="H1190" i="1"/>
  <c r="H1191" i="1"/>
  <c r="H1192" i="1"/>
  <c r="H1193" i="1"/>
  <c r="H1194" i="1"/>
  <c r="H1195" i="1"/>
  <c r="H1196" i="1"/>
  <c r="H1197" i="1"/>
  <c r="H1198" i="1"/>
  <c r="H1199" i="1"/>
  <c r="H1200" i="1"/>
  <c r="H1201" i="1"/>
  <c r="H1202" i="1"/>
  <c r="H1203" i="1"/>
  <c r="H1204" i="1"/>
  <c r="H1205" i="1"/>
  <c r="H1206" i="1"/>
  <c r="H1207" i="1"/>
  <c r="H1208" i="1"/>
  <c r="H1209" i="1"/>
  <c r="H1210" i="1"/>
  <c r="H1211" i="1"/>
  <c r="H1212" i="1"/>
  <c r="H1213" i="1"/>
  <c r="H1214" i="1"/>
  <c r="H1215" i="1"/>
  <c r="H1216" i="1"/>
  <c r="H1217" i="1"/>
  <c r="H1218" i="1"/>
  <c r="H1219" i="1"/>
  <c r="H1220" i="1"/>
  <c r="H1221" i="1"/>
  <c r="H1222" i="1"/>
  <c r="H1223" i="1"/>
  <c r="H1224" i="1"/>
  <c r="H1225" i="1"/>
  <c r="H1226" i="1"/>
  <c r="H1227" i="1"/>
  <c r="H1228" i="1"/>
  <c r="H1229" i="1"/>
  <c r="H1230" i="1"/>
  <c r="H1231" i="1"/>
  <c r="H1232" i="1"/>
  <c r="H1233" i="1"/>
  <c r="H1234" i="1"/>
  <c r="H1235" i="1"/>
  <c r="H1236" i="1"/>
  <c r="H1237" i="1"/>
  <c r="H1238" i="1"/>
  <c r="H1239" i="1"/>
  <c r="H1240" i="1"/>
  <c r="H1241" i="1"/>
  <c r="H1242" i="1"/>
  <c r="H1243" i="1"/>
  <c r="H1244" i="1"/>
  <c r="H1245" i="1"/>
  <c r="H1246" i="1"/>
  <c r="H1247" i="1"/>
  <c r="H1248" i="1"/>
  <c r="H1249" i="1"/>
  <c r="H1250" i="1"/>
  <c r="H1251" i="1"/>
  <c r="H1252" i="1"/>
  <c r="H1253" i="1"/>
  <c r="H1254" i="1"/>
  <c r="H1255" i="1"/>
  <c r="H1256" i="1"/>
  <c r="H1257" i="1"/>
  <c r="H1258" i="1"/>
  <c r="H1259" i="1"/>
  <c r="H1260" i="1"/>
  <c r="H1261" i="1"/>
  <c r="H1262" i="1"/>
  <c r="H1263" i="1"/>
  <c r="H1264" i="1"/>
  <c r="H1265" i="1"/>
  <c r="H1266" i="1"/>
  <c r="H1267" i="1"/>
  <c r="H1268" i="1"/>
  <c r="H1269" i="1"/>
  <c r="H1270" i="1"/>
  <c r="H1271" i="1"/>
  <c r="H1272" i="1"/>
  <c r="H1273" i="1"/>
  <c r="H1274" i="1"/>
  <c r="H1275" i="1"/>
  <c r="H1276" i="1"/>
  <c r="H1277" i="1"/>
  <c r="H1278" i="1"/>
  <c r="H1279" i="1"/>
  <c r="H1280" i="1"/>
  <c r="H1281" i="1"/>
  <c r="H1282" i="1"/>
  <c r="H1283" i="1"/>
  <c r="H1284" i="1"/>
  <c r="H1285" i="1"/>
  <c r="H1286" i="1"/>
  <c r="H1287" i="1"/>
  <c r="H1288" i="1"/>
  <c r="H1289" i="1"/>
  <c r="H1290" i="1"/>
  <c r="H1291" i="1"/>
  <c r="H1292" i="1"/>
  <c r="H1293" i="1"/>
  <c r="H1294" i="1"/>
  <c r="H1295" i="1"/>
  <c r="H1296" i="1"/>
  <c r="H1297" i="1"/>
  <c r="H1298" i="1"/>
  <c r="H1299" i="1"/>
  <c r="H1300" i="1"/>
  <c r="H1301" i="1"/>
  <c r="H1302" i="1"/>
  <c r="H1303" i="1"/>
  <c r="H1304" i="1"/>
  <c r="H1305" i="1"/>
  <c r="H1306" i="1"/>
  <c r="H1307" i="1"/>
  <c r="H1308" i="1"/>
  <c r="H1309" i="1"/>
  <c r="H1310" i="1"/>
  <c r="H1311" i="1"/>
  <c r="H1312" i="1"/>
  <c r="H1313" i="1"/>
  <c r="H1314" i="1"/>
  <c r="H1315" i="1"/>
  <c r="H1316" i="1"/>
  <c r="H1317" i="1"/>
  <c r="H1318" i="1"/>
  <c r="H1319" i="1"/>
  <c r="H1320" i="1"/>
  <c r="H1321" i="1"/>
  <c r="H1322" i="1"/>
  <c r="H1323" i="1"/>
  <c r="H1324" i="1"/>
  <c r="H1325" i="1"/>
  <c r="H1326" i="1"/>
  <c r="H1327" i="1"/>
  <c r="H1328" i="1"/>
  <c r="H1329" i="1"/>
  <c r="H1330" i="1"/>
  <c r="H1331" i="1"/>
  <c r="H1332" i="1"/>
  <c r="H1333" i="1"/>
  <c r="H1334" i="1"/>
  <c r="H1335" i="1"/>
  <c r="H1336" i="1"/>
  <c r="H1337" i="1"/>
  <c r="H1338" i="1"/>
  <c r="H1339" i="1"/>
  <c r="H1340" i="1"/>
  <c r="H1341" i="1"/>
  <c r="H1342" i="1"/>
  <c r="H1343" i="1"/>
  <c r="H1344" i="1"/>
  <c r="H1345" i="1"/>
  <c r="H1346" i="1"/>
  <c r="H1347" i="1"/>
  <c r="H1348" i="1"/>
  <c r="H1349" i="1"/>
  <c r="H1350" i="1"/>
  <c r="H1351" i="1"/>
  <c r="H1352" i="1"/>
  <c r="H1353" i="1"/>
  <c r="H1354" i="1"/>
  <c r="H1355" i="1"/>
  <c r="H1356" i="1"/>
  <c r="H1357" i="1"/>
  <c r="H1358" i="1"/>
  <c r="H1359" i="1"/>
  <c r="H1360" i="1"/>
  <c r="H1361" i="1"/>
  <c r="H1362" i="1"/>
  <c r="H1363" i="1"/>
  <c r="H1364" i="1"/>
  <c r="H1365" i="1"/>
  <c r="H1366" i="1"/>
  <c r="H1367" i="1"/>
  <c r="H1368" i="1"/>
  <c r="H1369" i="1"/>
  <c r="H1370" i="1"/>
  <c r="H1371" i="1"/>
  <c r="H1372" i="1"/>
  <c r="H1373" i="1"/>
  <c r="H1374" i="1"/>
  <c r="H1375" i="1"/>
  <c r="H1376" i="1"/>
  <c r="H1377" i="1"/>
  <c r="H1378" i="1"/>
  <c r="H1379" i="1"/>
  <c r="H1380" i="1"/>
  <c r="H1381" i="1"/>
  <c r="H1382" i="1"/>
  <c r="H1383" i="1"/>
  <c r="H1384" i="1"/>
  <c r="H1385" i="1"/>
  <c r="H1386" i="1"/>
  <c r="H1387" i="1"/>
  <c r="H1388" i="1"/>
  <c r="H1389" i="1"/>
  <c r="H1390" i="1"/>
  <c r="H1391" i="1"/>
  <c r="H1392" i="1"/>
  <c r="H1393" i="1"/>
  <c r="H1394" i="1"/>
  <c r="H1395" i="1"/>
  <c r="H1396" i="1"/>
  <c r="H1397" i="1"/>
  <c r="H1398" i="1"/>
  <c r="H1399" i="1"/>
  <c r="H1400" i="1"/>
  <c r="H1401" i="1"/>
  <c r="H1402" i="1"/>
  <c r="H1403" i="1"/>
  <c r="H1404" i="1"/>
  <c r="H1405" i="1"/>
  <c r="H1406" i="1"/>
  <c r="H1407" i="1"/>
  <c r="H1408" i="1"/>
  <c r="H1409" i="1"/>
  <c r="H1410" i="1"/>
  <c r="H1411" i="1"/>
  <c r="H1412" i="1"/>
  <c r="H1413" i="1"/>
  <c r="H1414" i="1"/>
  <c r="H1415" i="1"/>
  <c r="H1416" i="1"/>
  <c r="H1417" i="1"/>
  <c r="H1418" i="1"/>
  <c r="H1419" i="1"/>
  <c r="H1420" i="1"/>
  <c r="H1421" i="1"/>
  <c r="H1422" i="1"/>
  <c r="H1423" i="1"/>
  <c r="H1424" i="1"/>
  <c r="H1425" i="1"/>
  <c r="H1426" i="1"/>
  <c r="H1427" i="1"/>
  <c r="H1428" i="1"/>
  <c r="H1429" i="1"/>
  <c r="H1430" i="1"/>
  <c r="H1431" i="1"/>
  <c r="H1432" i="1"/>
  <c r="H1433" i="1"/>
  <c r="H1434" i="1"/>
  <c r="H1435" i="1"/>
  <c r="H1436" i="1"/>
  <c r="H1437" i="1"/>
  <c r="H1438" i="1"/>
  <c r="H1439" i="1"/>
  <c r="H1440" i="1"/>
  <c r="H1441" i="1"/>
  <c r="H1442" i="1"/>
  <c r="H1443" i="1"/>
  <c r="H1444" i="1"/>
  <c r="H1445" i="1"/>
  <c r="H1446" i="1"/>
  <c r="H1447" i="1"/>
  <c r="H1448" i="1"/>
  <c r="H1449" i="1"/>
  <c r="H1450" i="1"/>
  <c r="H1451" i="1"/>
  <c r="H1452" i="1"/>
  <c r="H1453" i="1"/>
  <c r="H1454" i="1"/>
  <c r="H1455" i="1"/>
  <c r="H1456" i="1"/>
  <c r="H1457" i="1"/>
  <c r="H1458" i="1"/>
  <c r="H1459" i="1"/>
  <c r="H1460" i="1"/>
  <c r="H1461" i="1"/>
  <c r="H1462" i="1"/>
  <c r="H1463" i="1"/>
  <c r="H1464" i="1"/>
  <c r="H1465" i="1"/>
  <c r="H1466" i="1"/>
  <c r="H1467" i="1"/>
  <c r="H1468" i="1"/>
  <c r="H1469" i="1"/>
  <c r="H1470" i="1"/>
  <c r="H1471" i="1"/>
  <c r="H1472" i="1"/>
  <c r="H1473" i="1"/>
  <c r="H1474" i="1"/>
  <c r="H1475" i="1"/>
  <c r="H1476" i="1"/>
  <c r="H1477" i="1"/>
  <c r="H1478" i="1"/>
  <c r="H1479" i="1"/>
  <c r="H1480" i="1"/>
  <c r="H1481" i="1"/>
  <c r="H1482" i="1"/>
  <c r="H1483" i="1"/>
  <c r="H1484" i="1"/>
  <c r="H1485" i="1"/>
  <c r="H1486" i="1"/>
  <c r="H1487" i="1"/>
  <c r="H1488" i="1"/>
  <c r="H1489" i="1"/>
  <c r="H1490" i="1"/>
  <c r="H1491" i="1"/>
  <c r="H1492" i="1"/>
  <c r="H1493" i="1"/>
  <c r="H1494" i="1"/>
  <c r="H1495" i="1"/>
  <c r="H1496" i="1"/>
  <c r="H1497" i="1"/>
  <c r="H1498" i="1"/>
  <c r="H1499" i="1"/>
  <c r="H1500" i="1"/>
  <c r="H1501" i="1"/>
  <c r="H1502" i="1"/>
  <c r="H1503" i="1"/>
  <c r="H1504" i="1"/>
  <c r="H1505" i="1"/>
  <c r="H1506" i="1"/>
  <c r="H1507" i="1"/>
  <c r="H1508" i="1"/>
  <c r="H1509" i="1"/>
  <c r="H1510" i="1"/>
  <c r="H1511" i="1"/>
  <c r="H1512" i="1"/>
  <c r="H1513" i="1"/>
  <c r="H1514" i="1"/>
  <c r="H1515" i="1"/>
  <c r="H1516" i="1"/>
  <c r="H1517" i="1"/>
  <c r="H1518" i="1"/>
  <c r="H1519" i="1"/>
  <c r="H1520" i="1"/>
  <c r="H1521" i="1"/>
  <c r="H1522" i="1"/>
  <c r="H1523" i="1"/>
  <c r="H1524" i="1"/>
  <c r="H1525" i="1"/>
  <c r="H1526" i="1"/>
  <c r="H1527" i="1"/>
  <c r="H1528" i="1"/>
  <c r="H1529" i="1"/>
  <c r="H1530" i="1"/>
  <c r="H1531" i="1"/>
  <c r="H1532" i="1"/>
  <c r="H1533" i="1"/>
  <c r="H1534" i="1"/>
  <c r="H1535" i="1"/>
  <c r="H1536" i="1"/>
  <c r="H1537" i="1"/>
  <c r="H1538" i="1"/>
  <c r="H1539" i="1"/>
  <c r="H1540" i="1"/>
  <c r="H1541" i="1"/>
  <c r="H1542" i="1"/>
  <c r="H1543" i="1"/>
  <c r="H1544" i="1"/>
  <c r="H1545" i="1"/>
  <c r="H1546" i="1"/>
  <c r="H1547" i="1"/>
  <c r="H1548" i="1"/>
  <c r="H1549" i="1"/>
  <c r="H1550" i="1"/>
  <c r="H1551" i="1"/>
  <c r="H1552" i="1"/>
  <c r="H1553" i="1"/>
  <c r="H1554" i="1"/>
  <c r="H1555" i="1"/>
  <c r="H1556" i="1"/>
  <c r="H1557" i="1"/>
  <c r="H1558" i="1"/>
  <c r="H1559" i="1"/>
  <c r="H1560" i="1"/>
  <c r="H1561" i="1"/>
  <c r="H1562" i="1"/>
  <c r="H1563" i="1"/>
  <c r="H1564" i="1"/>
  <c r="H1565" i="1"/>
  <c r="H1566" i="1"/>
  <c r="H1567" i="1"/>
  <c r="H1568" i="1"/>
  <c r="H1569" i="1"/>
  <c r="H1570" i="1"/>
  <c r="H1571" i="1"/>
  <c r="H1572" i="1"/>
  <c r="H1573" i="1"/>
  <c r="H1574" i="1"/>
  <c r="H1575" i="1"/>
  <c r="H1576" i="1"/>
  <c r="H1577" i="1"/>
  <c r="H1578" i="1"/>
  <c r="H1579" i="1"/>
  <c r="H1580" i="1"/>
  <c r="H1581" i="1"/>
  <c r="H1582" i="1"/>
  <c r="H1583" i="1"/>
  <c r="H1584" i="1"/>
  <c r="H1585" i="1"/>
  <c r="H1586" i="1"/>
  <c r="H1587" i="1"/>
  <c r="H1588" i="1"/>
  <c r="H1589" i="1"/>
  <c r="H1590" i="1"/>
  <c r="H1591" i="1"/>
  <c r="H1592" i="1"/>
  <c r="H1593" i="1"/>
  <c r="H1594" i="1"/>
  <c r="H1595" i="1"/>
  <c r="H1596" i="1"/>
  <c r="H1597" i="1"/>
  <c r="H1598" i="1"/>
  <c r="H1599" i="1"/>
  <c r="H1600" i="1"/>
  <c r="H1601" i="1"/>
  <c r="H1602" i="1"/>
  <c r="H1603" i="1"/>
  <c r="H1604" i="1"/>
  <c r="H1605" i="1"/>
  <c r="H1606" i="1"/>
  <c r="H1607" i="1"/>
  <c r="H1608" i="1"/>
  <c r="H1609" i="1"/>
  <c r="H1610" i="1"/>
  <c r="H1611" i="1"/>
  <c r="H1612" i="1"/>
  <c r="H1613" i="1"/>
  <c r="H1614" i="1"/>
  <c r="H1615" i="1"/>
  <c r="H1616" i="1"/>
  <c r="H1617" i="1"/>
  <c r="H1618" i="1"/>
  <c r="H1619" i="1"/>
  <c r="H1620" i="1"/>
  <c r="H1621" i="1"/>
  <c r="H1622" i="1"/>
  <c r="H1623" i="1"/>
  <c r="H1624" i="1"/>
  <c r="H1625" i="1"/>
  <c r="H1626" i="1"/>
  <c r="H1627" i="1"/>
  <c r="H1628" i="1"/>
  <c r="H1629" i="1"/>
  <c r="H1630" i="1"/>
  <c r="H1631" i="1"/>
  <c r="H1632" i="1"/>
  <c r="H1633" i="1"/>
  <c r="H1634" i="1"/>
  <c r="H1635" i="1"/>
  <c r="H1636" i="1"/>
  <c r="H1637" i="1"/>
  <c r="H1638" i="1"/>
  <c r="H1639" i="1"/>
  <c r="H1640" i="1"/>
  <c r="H1641" i="1"/>
  <c r="H1642" i="1"/>
  <c r="H1643" i="1"/>
  <c r="H1644" i="1"/>
  <c r="H1645" i="1"/>
  <c r="H1646" i="1"/>
  <c r="H1647" i="1"/>
  <c r="H1648" i="1"/>
  <c r="H1649" i="1"/>
  <c r="H1650" i="1"/>
  <c r="H1651" i="1"/>
  <c r="H1652" i="1"/>
  <c r="H1653" i="1"/>
  <c r="H1654" i="1"/>
  <c r="H1655" i="1"/>
  <c r="H1656" i="1"/>
  <c r="H1657" i="1"/>
  <c r="H1658" i="1"/>
  <c r="H1659" i="1"/>
  <c r="H1660" i="1"/>
  <c r="H1661" i="1"/>
  <c r="H1662" i="1"/>
  <c r="H1663" i="1"/>
  <c r="H1664" i="1"/>
  <c r="H1665" i="1"/>
  <c r="H1666" i="1"/>
  <c r="H1667" i="1"/>
  <c r="H1668" i="1"/>
  <c r="H1669" i="1"/>
  <c r="H1670" i="1"/>
  <c r="H1671" i="1"/>
  <c r="H1672" i="1"/>
  <c r="H1673" i="1"/>
  <c r="H1674" i="1"/>
  <c r="H1675" i="1"/>
  <c r="H1676" i="1"/>
  <c r="H1677" i="1"/>
  <c r="H1678" i="1"/>
  <c r="H1679" i="1"/>
  <c r="H1680" i="1"/>
  <c r="H1681" i="1"/>
  <c r="H1682" i="1"/>
  <c r="H1683" i="1"/>
  <c r="H1684" i="1"/>
  <c r="H1685" i="1"/>
  <c r="H1686" i="1"/>
  <c r="H1687" i="1"/>
  <c r="H1688" i="1"/>
  <c r="H1689" i="1"/>
  <c r="H1690" i="1"/>
  <c r="H1691" i="1"/>
  <c r="H1692" i="1"/>
  <c r="H1693" i="1"/>
  <c r="H1694" i="1"/>
  <c r="H1695" i="1"/>
  <c r="H1696" i="1"/>
  <c r="H1697" i="1"/>
  <c r="H1698" i="1"/>
  <c r="H1699" i="1"/>
  <c r="H1700" i="1"/>
  <c r="H1701" i="1"/>
  <c r="H1702" i="1"/>
  <c r="H1703" i="1"/>
  <c r="H1704" i="1"/>
  <c r="H1705" i="1"/>
  <c r="H1706" i="1"/>
  <c r="H1707" i="1"/>
  <c r="H1708" i="1"/>
  <c r="H1709" i="1"/>
  <c r="H1710" i="1"/>
  <c r="H1711" i="1"/>
  <c r="H1712" i="1"/>
  <c r="H1713" i="1"/>
  <c r="H1714" i="1"/>
  <c r="H1715" i="1"/>
  <c r="H1716" i="1"/>
  <c r="H1717" i="1"/>
  <c r="H1718" i="1"/>
  <c r="H1719" i="1"/>
  <c r="H1720" i="1"/>
  <c r="H1721" i="1"/>
  <c r="H1722" i="1"/>
  <c r="H1723" i="1"/>
  <c r="H1724" i="1"/>
  <c r="H1725" i="1"/>
  <c r="H1726" i="1"/>
  <c r="H1727" i="1"/>
  <c r="H1728" i="1"/>
  <c r="H1729" i="1"/>
  <c r="H1730" i="1"/>
  <c r="H1731" i="1"/>
  <c r="H1732" i="1"/>
  <c r="H1733" i="1"/>
  <c r="H1734" i="1"/>
  <c r="H1735" i="1"/>
  <c r="H1736" i="1"/>
  <c r="H1737" i="1"/>
  <c r="H1738" i="1"/>
  <c r="H1739" i="1"/>
  <c r="H1740" i="1"/>
  <c r="H1741" i="1"/>
  <c r="H1742" i="1"/>
  <c r="H1743" i="1"/>
  <c r="H1744" i="1"/>
  <c r="H1745" i="1"/>
  <c r="H1746" i="1"/>
  <c r="H1747" i="1"/>
  <c r="H1748" i="1"/>
  <c r="H1749" i="1"/>
  <c r="H1750" i="1"/>
  <c r="H1751" i="1"/>
  <c r="H1752" i="1"/>
  <c r="H1753" i="1"/>
  <c r="H1754" i="1"/>
  <c r="H1755" i="1"/>
  <c r="H1756" i="1"/>
  <c r="H1757" i="1"/>
  <c r="H1758" i="1"/>
  <c r="H1759" i="1"/>
  <c r="H1760" i="1"/>
  <c r="H1761" i="1"/>
  <c r="H1762" i="1"/>
  <c r="H1763" i="1"/>
  <c r="H1764" i="1"/>
  <c r="H1765" i="1"/>
  <c r="H1766" i="1"/>
  <c r="H1767" i="1"/>
  <c r="H1768" i="1"/>
  <c r="H1769" i="1"/>
  <c r="H1770" i="1"/>
  <c r="H1771" i="1"/>
  <c r="H1772" i="1"/>
  <c r="H1773" i="1"/>
  <c r="H1774" i="1"/>
  <c r="H1775" i="1"/>
  <c r="H1776" i="1"/>
  <c r="H1777" i="1"/>
  <c r="H1778" i="1"/>
  <c r="H1779" i="1"/>
  <c r="H1780" i="1"/>
  <c r="H1781" i="1"/>
  <c r="H1782" i="1"/>
  <c r="H1783" i="1"/>
  <c r="H1784" i="1"/>
  <c r="H1785" i="1"/>
  <c r="H1786" i="1"/>
  <c r="H1787" i="1"/>
  <c r="H1788" i="1"/>
  <c r="H1789" i="1"/>
  <c r="H1790" i="1"/>
  <c r="H1791" i="1"/>
  <c r="H1792" i="1"/>
  <c r="H1793" i="1"/>
  <c r="H1794" i="1"/>
  <c r="H1795" i="1"/>
  <c r="H1796" i="1"/>
  <c r="H1797" i="1"/>
  <c r="H1798" i="1"/>
  <c r="H1799" i="1"/>
  <c r="H1800" i="1"/>
  <c r="H1801" i="1"/>
  <c r="H1802" i="1"/>
  <c r="H1803" i="1"/>
  <c r="H1804" i="1"/>
  <c r="H1805" i="1"/>
  <c r="H1806" i="1"/>
  <c r="H1807" i="1"/>
  <c r="H1808" i="1"/>
  <c r="H1809" i="1"/>
  <c r="H1810" i="1"/>
  <c r="H1811" i="1"/>
  <c r="H1812" i="1"/>
  <c r="H1813" i="1"/>
  <c r="H1814" i="1"/>
  <c r="H1815" i="1"/>
  <c r="H1816" i="1"/>
  <c r="H1817" i="1"/>
  <c r="H1818" i="1"/>
  <c r="H1819" i="1"/>
  <c r="H1820" i="1"/>
  <c r="H1821" i="1"/>
  <c r="H1822" i="1"/>
  <c r="H1823" i="1"/>
  <c r="H1824" i="1"/>
  <c r="H1825" i="1"/>
  <c r="H1826" i="1"/>
  <c r="H1827" i="1"/>
  <c r="H1828" i="1"/>
  <c r="H1829" i="1"/>
  <c r="H1830" i="1"/>
  <c r="H1831" i="1"/>
  <c r="H1832" i="1"/>
  <c r="H1833" i="1"/>
  <c r="H1834" i="1"/>
  <c r="H1835" i="1"/>
  <c r="H1836" i="1"/>
  <c r="H1837" i="1"/>
  <c r="H1838" i="1"/>
  <c r="H1839" i="1"/>
  <c r="H1840" i="1"/>
  <c r="H1841" i="1"/>
  <c r="H1842" i="1"/>
  <c r="H1843" i="1"/>
  <c r="H1844" i="1"/>
  <c r="H1845" i="1"/>
  <c r="H1846" i="1"/>
  <c r="H1847" i="1"/>
  <c r="H1848" i="1"/>
  <c r="H1849" i="1"/>
  <c r="H1850" i="1"/>
  <c r="H1851" i="1"/>
  <c r="H1852" i="1"/>
  <c r="H1853" i="1"/>
  <c r="H1854" i="1"/>
  <c r="H1855" i="1"/>
  <c r="H1856" i="1"/>
  <c r="H1857" i="1"/>
  <c r="H1858" i="1"/>
  <c r="H1859" i="1"/>
  <c r="H1860" i="1"/>
  <c r="H1861" i="1"/>
  <c r="H1862" i="1"/>
  <c r="H1863" i="1"/>
  <c r="H1864" i="1"/>
  <c r="H1865" i="1"/>
  <c r="H1866" i="1"/>
  <c r="H1867" i="1"/>
  <c r="H1868" i="1"/>
  <c r="H1869" i="1"/>
  <c r="H1870" i="1"/>
  <c r="H1871" i="1"/>
  <c r="H1872" i="1"/>
  <c r="H1873" i="1"/>
  <c r="H1874" i="1"/>
  <c r="H1875" i="1"/>
  <c r="H1876" i="1"/>
  <c r="H1877" i="1"/>
  <c r="H1878" i="1"/>
  <c r="H1879" i="1"/>
  <c r="H1880" i="1"/>
  <c r="H1881" i="1"/>
  <c r="H1882" i="1"/>
  <c r="H1883" i="1"/>
  <c r="H1884" i="1"/>
  <c r="H1885" i="1"/>
  <c r="H1886" i="1"/>
  <c r="H1887" i="1"/>
  <c r="H1888" i="1"/>
  <c r="H1889" i="1"/>
  <c r="H1890" i="1"/>
  <c r="H1891" i="1"/>
  <c r="H1892" i="1"/>
  <c r="H1893" i="1"/>
  <c r="H1894" i="1"/>
  <c r="H1895" i="1"/>
  <c r="H1896" i="1"/>
  <c r="H1897" i="1"/>
  <c r="H1898" i="1"/>
  <c r="H1899" i="1"/>
  <c r="H1900" i="1"/>
  <c r="H1901" i="1"/>
  <c r="H1902" i="1"/>
  <c r="H1903" i="1"/>
  <c r="H1904" i="1"/>
  <c r="H1905" i="1"/>
  <c r="H1906" i="1"/>
  <c r="H1907" i="1"/>
  <c r="H1908" i="1"/>
  <c r="H1909" i="1"/>
  <c r="H1910" i="1"/>
  <c r="H1911" i="1"/>
  <c r="H1912" i="1"/>
  <c r="H1913" i="1"/>
  <c r="H1914" i="1"/>
  <c r="H1915" i="1"/>
  <c r="H1916" i="1"/>
  <c r="H1917" i="1"/>
  <c r="H1918" i="1"/>
  <c r="H1919" i="1"/>
  <c r="H1920" i="1"/>
  <c r="H1921" i="1"/>
  <c r="H1922" i="1"/>
  <c r="H1923" i="1"/>
  <c r="H1924" i="1"/>
  <c r="H1925" i="1"/>
  <c r="H1926" i="1"/>
  <c r="H1927" i="1"/>
  <c r="H1928" i="1"/>
  <c r="H1929" i="1"/>
  <c r="H1930" i="1"/>
  <c r="H1931" i="1"/>
  <c r="H1932" i="1"/>
  <c r="H1933" i="1"/>
  <c r="H1934" i="1"/>
  <c r="H1935" i="1"/>
  <c r="H1936" i="1"/>
  <c r="H1937" i="1"/>
  <c r="H1938" i="1"/>
  <c r="H1939" i="1"/>
  <c r="H1940" i="1"/>
  <c r="H1941" i="1"/>
  <c r="H1942" i="1"/>
  <c r="H1943" i="1"/>
  <c r="H1944" i="1"/>
  <c r="H1945" i="1"/>
  <c r="H1946" i="1"/>
  <c r="H1947" i="1"/>
  <c r="H1948" i="1"/>
  <c r="H1949" i="1"/>
  <c r="H1950" i="1"/>
  <c r="H1951" i="1"/>
  <c r="H1952" i="1"/>
  <c r="H1953" i="1"/>
  <c r="H1954" i="1"/>
  <c r="H1955" i="1"/>
  <c r="H1956" i="1"/>
  <c r="H1957" i="1"/>
  <c r="H1958" i="1"/>
  <c r="H1959" i="1"/>
  <c r="H1960" i="1"/>
  <c r="H1961" i="1"/>
  <c r="H1962" i="1"/>
  <c r="H1963" i="1"/>
  <c r="H1964" i="1"/>
  <c r="H1965" i="1"/>
  <c r="H1966" i="1"/>
  <c r="H1967" i="1"/>
  <c r="H1968" i="1"/>
  <c r="H1969" i="1"/>
  <c r="H1970" i="1"/>
  <c r="H1971" i="1"/>
  <c r="H1972" i="1"/>
  <c r="H1973" i="1"/>
  <c r="H1974" i="1"/>
  <c r="H1975" i="1"/>
  <c r="H1976" i="1"/>
  <c r="H1977" i="1"/>
  <c r="H1978" i="1"/>
  <c r="H1979" i="1"/>
  <c r="H1980" i="1"/>
  <c r="H1981" i="1"/>
  <c r="H1982" i="1"/>
  <c r="H1983" i="1"/>
  <c r="H1984" i="1"/>
  <c r="H1985" i="1"/>
  <c r="H1986" i="1"/>
  <c r="H1987" i="1"/>
  <c r="H1988" i="1"/>
  <c r="H1989" i="1"/>
  <c r="H1990" i="1"/>
  <c r="H1991" i="1"/>
  <c r="H1992" i="1"/>
  <c r="H1993" i="1"/>
  <c r="H1994" i="1"/>
  <c r="H1995" i="1"/>
  <c r="H1996" i="1"/>
  <c r="H1997" i="1"/>
  <c r="H1998" i="1"/>
  <c r="H1999" i="1"/>
  <c r="H2000" i="1"/>
  <c r="H12" i="1"/>
  <c r="I17" i="1"/>
  <c r="I18" i="1"/>
  <c r="I19" i="1"/>
  <c r="I20" i="1"/>
  <c r="I21" i="1"/>
  <c r="I22" i="1"/>
  <c r="I23" i="1"/>
  <c r="I24" i="1"/>
  <c r="I25" i="1"/>
  <c r="I26" i="1"/>
  <c r="I27" i="1"/>
  <c r="I28" i="1"/>
  <c r="I29" i="1"/>
  <c r="I30" i="1"/>
  <c r="I31" i="1"/>
  <c r="I32" i="1"/>
  <c r="I33" i="1"/>
  <c r="I34" i="1"/>
  <c r="I35" i="1"/>
  <c r="I36" i="1"/>
  <c r="I37" i="1"/>
  <c r="I38" i="1"/>
  <c r="I39" i="1"/>
  <c r="I40" i="1"/>
  <c r="I41" i="1"/>
  <c r="I42" i="1"/>
  <c r="I43" i="1"/>
  <c r="I44" i="1"/>
  <c r="I45" i="1"/>
  <c r="I46" i="1"/>
  <c r="I47" i="1"/>
  <c r="I48" i="1"/>
  <c r="I49" i="1"/>
  <c r="I50" i="1"/>
  <c r="I51" i="1"/>
  <c r="I52" i="1"/>
  <c r="I53" i="1"/>
  <c r="I54" i="1"/>
  <c r="I55" i="1"/>
  <c r="I56" i="1"/>
  <c r="I57" i="1"/>
  <c r="I58" i="1"/>
  <c r="I59" i="1"/>
  <c r="I60" i="1"/>
  <c r="I61" i="1"/>
  <c r="I62" i="1"/>
  <c r="I63" i="1"/>
  <c r="I64" i="1"/>
  <c r="I65" i="1"/>
  <c r="I66" i="1"/>
  <c r="I67" i="1"/>
  <c r="I68" i="1"/>
  <c r="I69" i="1"/>
  <c r="I70" i="1"/>
  <c r="I71" i="1"/>
  <c r="I72" i="1"/>
  <c r="I73" i="1"/>
  <c r="I74" i="1"/>
  <c r="I75" i="1"/>
  <c r="I76" i="1"/>
  <c r="I77" i="1"/>
  <c r="I78" i="1"/>
  <c r="I79" i="1"/>
  <c r="I80" i="1"/>
  <c r="I81" i="1"/>
  <c r="I82" i="1"/>
  <c r="I83" i="1"/>
  <c r="I84" i="1"/>
  <c r="I85" i="1"/>
  <c r="I86" i="1"/>
  <c r="I87" i="1"/>
  <c r="I88" i="1"/>
  <c r="I89" i="1"/>
  <c r="I90" i="1"/>
  <c r="I91" i="1"/>
  <c r="I92" i="1"/>
  <c r="I93" i="1"/>
  <c r="I94" i="1"/>
  <c r="I95" i="1"/>
  <c r="I96" i="1"/>
  <c r="I97" i="1"/>
  <c r="I98" i="1"/>
  <c r="I99" i="1"/>
  <c r="I100" i="1"/>
  <c r="I101" i="1"/>
  <c r="I102" i="1"/>
  <c r="I103" i="1"/>
  <c r="I104" i="1"/>
  <c r="I105" i="1"/>
  <c r="I106" i="1"/>
  <c r="I107" i="1"/>
  <c r="I108" i="1"/>
  <c r="I109" i="1"/>
  <c r="I110" i="1"/>
  <c r="I111" i="1"/>
  <c r="I112" i="1"/>
  <c r="I113" i="1"/>
  <c r="I114" i="1"/>
  <c r="I115" i="1"/>
  <c r="I116" i="1"/>
  <c r="I117" i="1"/>
  <c r="I118" i="1"/>
  <c r="I119" i="1"/>
  <c r="I120" i="1"/>
  <c r="I121" i="1"/>
  <c r="I122" i="1"/>
  <c r="I123" i="1"/>
  <c r="I124" i="1"/>
  <c r="I125" i="1"/>
  <c r="I126" i="1"/>
  <c r="I127" i="1"/>
  <c r="I128" i="1"/>
  <c r="I129" i="1"/>
  <c r="I130" i="1"/>
  <c r="I131" i="1"/>
  <c r="I132" i="1"/>
  <c r="I133" i="1"/>
  <c r="I134" i="1"/>
  <c r="I135" i="1"/>
  <c r="I136" i="1"/>
  <c r="I137" i="1"/>
  <c r="I138" i="1"/>
  <c r="I139" i="1"/>
  <c r="I140" i="1"/>
  <c r="I141" i="1"/>
  <c r="I142" i="1"/>
  <c r="I143" i="1"/>
  <c r="I144" i="1"/>
  <c r="I145" i="1"/>
  <c r="I146" i="1"/>
  <c r="I147" i="1"/>
  <c r="I148" i="1"/>
  <c r="I149" i="1"/>
  <c r="I150" i="1"/>
  <c r="I151" i="1"/>
  <c r="I152" i="1"/>
  <c r="I153" i="1"/>
  <c r="I154" i="1"/>
  <c r="I155" i="1"/>
  <c r="I156" i="1"/>
  <c r="I157" i="1"/>
  <c r="I158" i="1"/>
  <c r="I159" i="1"/>
  <c r="I160" i="1"/>
  <c r="I161" i="1"/>
  <c r="I162" i="1"/>
  <c r="I163" i="1"/>
  <c r="I164" i="1"/>
  <c r="I165" i="1"/>
  <c r="I166" i="1"/>
  <c r="I167" i="1"/>
  <c r="I168" i="1"/>
  <c r="I169" i="1"/>
  <c r="I170" i="1"/>
  <c r="I171" i="1"/>
  <c r="I172" i="1"/>
  <c r="I173" i="1"/>
  <c r="I174" i="1"/>
  <c r="I175" i="1"/>
  <c r="I176" i="1"/>
  <c r="I177" i="1"/>
  <c r="I178" i="1"/>
  <c r="I179" i="1"/>
  <c r="I180" i="1"/>
  <c r="I181" i="1"/>
  <c r="I182" i="1"/>
  <c r="I183" i="1"/>
  <c r="I184" i="1"/>
  <c r="I185" i="1"/>
  <c r="I186" i="1"/>
  <c r="I187" i="1"/>
  <c r="I188" i="1"/>
  <c r="I189" i="1"/>
  <c r="I190" i="1"/>
  <c r="I191" i="1"/>
  <c r="I192" i="1"/>
  <c r="I193" i="1"/>
  <c r="I194" i="1"/>
  <c r="I195" i="1"/>
  <c r="I196" i="1"/>
  <c r="I197" i="1"/>
  <c r="I198" i="1"/>
  <c r="I199" i="1"/>
  <c r="I200" i="1"/>
  <c r="I201" i="1"/>
  <c r="I202" i="1"/>
  <c r="I203" i="1"/>
  <c r="I204" i="1"/>
  <c r="I205" i="1"/>
  <c r="I206" i="1"/>
  <c r="I207" i="1"/>
  <c r="I208" i="1"/>
  <c r="I209" i="1"/>
  <c r="I210" i="1"/>
  <c r="I211" i="1"/>
  <c r="I212" i="1"/>
  <c r="I213" i="1"/>
  <c r="I214" i="1"/>
  <c r="I215" i="1"/>
  <c r="I216" i="1"/>
  <c r="I217" i="1"/>
  <c r="I218" i="1"/>
  <c r="I219" i="1"/>
  <c r="I220" i="1"/>
  <c r="I221" i="1"/>
  <c r="I222" i="1"/>
  <c r="I223" i="1"/>
  <c r="I224" i="1"/>
  <c r="I225" i="1"/>
  <c r="I226" i="1"/>
  <c r="I227" i="1"/>
  <c r="I228" i="1"/>
  <c r="I229" i="1"/>
  <c r="I230" i="1"/>
  <c r="I231" i="1"/>
  <c r="I232" i="1"/>
  <c r="I233" i="1"/>
  <c r="I234" i="1"/>
  <c r="I235" i="1"/>
  <c r="I236" i="1"/>
  <c r="I237" i="1"/>
  <c r="I238" i="1"/>
  <c r="I239" i="1"/>
  <c r="I240" i="1"/>
  <c r="I241" i="1"/>
  <c r="I242" i="1"/>
  <c r="I243" i="1"/>
  <c r="I244" i="1"/>
  <c r="I245" i="1"/>
  <c r="I246" i="1"/>
  <c r="I247" i="1"/>
  <c r="I248" i="1"/>
  <c r="I249" i="1"/>
  <c r="I250" i="1"/>
  <c r="I251" i="1"/>
  <c r="I252" i="1"/>
  <c r="I253" i="1"/>
  <c r="I254" i="1"/>
  <c r="I255" i="1"/>
  <c r="I256" i="1"/>
  <c r="I257" i="1"/>
  <c r="I258" i="1"/>
  <c r="I259" i="1"/>
  <c r="I260" i="1"/>
  <c r="I261" i="1"/>
  <c r="I262" i="1"/>
  <c r="I263" i="1"/>
  <c r="I264" i="1"/>
  <c r="I265" i="1"/>
  <c r="I266" i="1"/>
  <c r="I267" i="1"/>
  <c r="I268" i="1"/>
  <c r="I269" i="1"/>
  <c r="I270" i="1"/>
  <c r="I271" i="1"/>
  <c r="I272" i="1"/>
  <c r="I273" i="1"/>
  <c r="I274" i="1"/>
  <c r="I275" i="1"/>
  <c r="I276" i="1"/>
  <c r="I277" i="1"/>
  <c r="I278" i="1"/>
  <c r="I279" i="1"/>
  <c r="I280" i="1"/>
  <c r="I281" i="1"/>
  <c r="I282" i="1"/>
  <c r="I283" i="1"/>
  <c r="I284" i="1"/>
  <c r="I285" i="1"/>
  <c r="I286" i="1"/>
  <c r="I287" i="1"/>
  <c r="I288" i="1"/>
  <c r="I289" i="1"/>
  <c r="I290" i="1"/>
  <c r="I291" i="1"/>
  <c r="I292" i="1"/>
  <c r="I293" i="1"/>
  <c r="I294" i="1"/>
  <c r="I295" i="1"/>
  <c r="I296" i="1"/>
  <c r="I297" i="1"/>
  <c r="I298" i="1"/>
  <c r="I299" i="1"/>
  <c r="I300" i="1"/>
  <c r="I301" i="1"/>
  <c r="I302" i="1"/>
  <c r="I303" i="1"/>
  <c r="I304" i="1"/>
  <c r="I305" i="1"/>
  <c r="I306" i="1"/>
  <c r="I307" i="1"/>
  <c r="I308" i="1"/>
  <c r="I309" i="1"/>
  <c r="I310" i="1"/>
  <c r="I311" i="1"/>
  <c r="I312" i="1"/>
  <c r="I313" i="1"/>
  <c r="I314" i="1"/>
  <c r="I315" i="1"/>
  <c r="I316" i="1"/>
  <c r="I317" i="1"/>
  <c r="I318" i="1"/>
  <c r="I319" i="1"/>
  <c r="I320" i="1"/>
  <c r="I321" i="1"/>
  <c r="I322" i="1"/>
  <c r="I323" i="1"/>
  <c r="I324" i="1"/>
  <c r="I325" i="1"/>
  <c r="I326" i="1"/>
  <c r="I327" i="1"/>
  <c r="I328" i="1"/>
  <c r="I329" i="1"/>
  <c r="I330" i="1"/>
  <c r="I331" i="1"/>
  <c r="I332" i="1"/>
  <c r="I333" i="1"/>
  <c r="I334" i="1"/>
  <c r="I335" i="1"/>
  <c r="I336" i="1"/>
  <c r="I337" i="1"/>
  <c r="I338" i="1"/>
  <c r="I339" i="1"/>
  <c r="I340" i="1"/>
  <c r="I341" i="1"/>
  <c r="I342" i="1"/>
  <c r="I343" i="1"/>
  <c r="I344" i="1"/>
  <c r="I345" i="1"/>
  <c r="I346" i="1"/>
  <c r="I347" i="1"/>
  <c r="I348" i="1"/>
  <c r="I349" i="1"/>
  <c r="I350" i="1"/>
  <c r="I351" i="1"/>
  <c r="I352" i="1"/>
  <c r="I353" i="1"/>
  <c r="I354" i="1"/>
  <c r="I355" i="1"/>
  <c r="I356" i="1"/>
  <c r="I357" i="1"/>
  <c r="I358" i="1"/>
  <c r="I359" i="1"/>
  <c r="I360" i="1"/>
  <c r="I361" i="1"/>
  <c r="I362" i="1"/>
  <c r="I363" i="1"/>
  <c r="I364" i="1"/>
  <c r="I365" i="1"/>
  <c r="I366" i="1"/>
  <c r="I367" i="1"/>
  <c r="I368" i="1"/>
  <c r="I369" i="1"/>
  <c r="I370" i="1"/>
  <c r="I371" i="1"/>
  <c r="I372" i="1"/>
  <c r="I373" i="1"/>
  <c r="I374" i="1"/>
  <c r="I375" i="1"/>
  <c r="I376" i="1"/>
  <c r="I377" i="1"/>
  <c r="I378" i="1"/>
  <c r="I379" i="1"/>
  <c r="I380" i="1"/>
  <c r="G13" i="1"/>
  <c r="I13" i="1" s="1"/>
  <c r="G14" i="1"/>
  <c r="I14" i="1" s="1"/>
  <c r="G15" i="1"/>
  <c r="I15" i="1" s="1"/>
  <c r="G16" i="1"/>
  <c r="I16" i="1" s="1"/>
  <c r="G7" i="1"/>
  <c r="I7" i="1" s="1"/>
  <c r="G3" i="1"/>
  <c r="I3" i="1" s="1"/>
  <c r="G4" i="1"/>
  <c r="I4" i="1" s="1"/>
  <c r="G5" i="1"/>
  <c r="I5" i="1" s="1"/>
  <c r="G2" i="1"/>
  <c r="I2" i="1" s="1"/>
  <c r="G9" i="1"/>
  <c r="I9" i="1" s="1"/>
  <c r="G10" i="1"/>
  <c r="I10" i="1" s="1"/>
  <c r="G8" i="1"/>
  <c r="I8" i="1" s="1"/>
  <c r="G6" i="1"/>
  <c r="I6" i="1" s="1"/>
  <c r="G11" i="1"/>
  <c r="I11" i="1" s="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G1002" i="1"/>
  <c r="G1003" i="1"/>
  <c r="G1004" i="1"/>
  <c r="G1005" i="1"/>
  <c r="G1006" i="1"/>
  <c r="G1007" i="1"/>
  <c r="G1008" i="1"/>
  <c r="G1009" i="1"/>
  <c r="G1010" i="1"/>
  <c r="G1011" i="1"/>
  <c r="G1012" i="1"/>
  <c r="G1013" i="1"/>
  <c r="G1014" i="1"/>
  <c r="G1015" i="1"/>
  <c r="G1016" i="1"/>
  <c r="G1017" i="1"/>
  <c r="G1018" i="1"/>
  <c r="G1019" i="1"/>
  <c r="G1020" i="1"/>
  <c r="G1021" i="1"/>
  <c r="G1022" i="1"/>
  <c r="G1023" i="1"/>
  <c r="G1024" i="1"/>
  <c r="G1025" i="1"/>
  <c r="G1026" i="1"/>
  <c r="G1027" i="1"/>
  <c r="G1028" i="1"/>
  <c r="G1029" i="1"/>
  <c r="G1030" i="1"/>
  <c r="G1031" i="1"/>
  <c r="G1032" i="1"/>
  <c r="G1033" i="1"/>
  <c r="G1034" i="1"/>
  <c r="G1035" i="1"/>
  <c r="G1036" i="1"/>
  <c r="G1037" i="1"/>
  <c r="G1038" i="1"/>
  <c r="G1039" i="1"/>
  <c r="G1040" i="1"/>
  <c r="G1041" i="1"/>
  <c r="G1042" i="1"/>
  <c r="G1043" i="1"/>
  <c r="G1044" i="1"/>
  <c r="G1045" i="1"/>
  <c r="G1046" i="1"/>
  <c r="G1047" i="1"/>
  <c r="G1048" i="1"/>
  <c r="G1049" i="1"/>
  <c r="G1050" i="1"/>
  <c r="G1051" i="1"/>
  <c r="G1052" i="1"/>
  <c r="G1053" i="1"/>
  <c r="G1054" i="1"/>
  <c r="G1055" i="1"/>
  <c r="G1056" i="1"/>
  <c r="G1057" i="1"/>
  <c r="G1058" i="1"/>
  <c r="G1059" i="1"/>
  <c r="G1060" i="1"/>
  <c r="G1061" i="1"/>
  <c r="G1062" i="1"/>
  <c r="G1063" i="1"/>
  <c r="G1064" i="1"/>
  <c r="G1065" i="1"/>
  <c r="G1066" i="1"/>
  <c r="G1067" i="1"/>
  <c r="G1068" i="1"/>
  <c r="G1069" i="1"/>
  <c r="G1070" i="1"/>
  <c r="G1071" i="1"/>
  <c r="G1072" i="1"/>
  <c r="G1073" i="1"/>
  <c r="G1074" i="1"/>
  <c r="G1075" i="1"/>
  <c r="G1076" i="1"/>
  <c r="G1077" i="1"/>
  <c r="G1078" i="1"/>
  <c r="G1079" i="1"/>
  <c r="G1080" i="1"/>
  <c r="G1081" i="1"/>
  <c r="G1082" i="1"/>
  <c r="G1083" i="1"/>
  <c r="G1084" i="1"/>
  <c r="G1085" i="1"/>
  <c r="G1086" i="1"/>
  <c r="G1087" i="1"/>
  <c r="G1088" i="1"/>
  <c r="G1089" i="1"/>
  <c r="G1090" i="1"/>
  <c r="G1091" i="1"/>
  <c r="G1092" i="1"/>
  <c r="G1093" i="1"/>
  <c r="G1094" i="1"/>
  <c r="G1095" i="1"/>
  <c r="G1096" i="1"/>
  <c r="G1097" i="1"/>
  <c r="G1098" i="1"/>
  <c r="G1099" i="1"/>
  <c r="G1100" i="1"/>
  <c r="G1101" i="1"/>
  <c r="G1102" i="1"/>
  <c r="G1103" i="1"/>
  <c r="G1104" i="1"/>
  <c r="G1105" i="1"/>
  <c r="G1106" i="1"/>
  <c r="G1107" i="1"/>
  <c r="G1108" i="1"/>
  <c r="G1109" i="1"/>
  <c r="G1110" i="1"/>
  <c r="G1111" i="1"/>
  <c r="G1112" i="1"/>
  <c r="G1113" i="1"/>
  <c r="G1114" i="1"/>
  <c r="G1115" i="1"/>
  <c r="G1116" i="1"/>
  <c r="G1117" i="1"/>
  <c r="G1118" i="1"/>
  <c r="G1119" i="1"/>
  <c r="G1120" i="1"/>
  <c r="G1121" i="1"/>
  <c r="G1122" i="1"/>
  <c r="G1123" i="1"/>
  <c r="G1124" i="1"/>
  <c r="G1125" i="1"/>
  <c r="G1126" i="1"/>
  <c r="G1127" i="1"/>
  <c r="G1128" i="1"/>
  <c r="G1129" i="1"/>
  <c r="G1130" i="1"/>
  <c r="G1131" i="1"/>
  <c r="G1132" i="1"/>
  <c r="G1133" i="1"/>
  <c r="G1134" i="1"/>
  <c r="G1135" i="1"/>
  <c r="G1136" i="1"/>
  <c r="G1137" i="1"/>
  <c r="G1138" i="1"/>
  <c r="G1139" i="1"/>
  <c r="G1140" i="1"/>
  <c r="G1141" i="1"/>
  <c r="G1142" i="1"/>
  <c r="G1143" i="1"/>
  <c r="G1144" i="1"/>
  <c r="G1145" i="1"/>
  <c r="G1146" i="1"/>
  <c r="G1147" i="1"/>
  <c r="G1148" i="1"/>
  <c r="G1149" i="1"/>
  <c r="G1150" i="1"/>
  <c r="G1151" i="1"/>
  <c r="G1152" i="1"/>
  <c r="G1153" i="1"/>
  <c r="G1154" i="1"/>
  <c r="G1155" i="1"/>
  <c r="G1156" i="1"/>
  <c r="G1157" i="1"/>
  <c r="G1158" i="1"/>
  <c r="G1159" i="1"/>
  <c r="G1160" i="1"/>
  <c r="G1161" i="1"/>
  <c r="G1162" i="1"/>
  <c r="G1163" i="1"/>
  <c r="G1164" i="1"/>
  <c r="G1165" i="1"/>
  <c r="G1166" i="1"/>
  <c r="G1167" i="1"/>
  <c r="G1168" i="1"/>
  <c r="G1169" i="1"/>
  <c r="G1170" i="1"/>
  <c r="G1171" i="1"/>
  <c r="G1172" i="1"/>
  <c r="G1173" i="1"/>
  <c r="G1174" i="1"/>
  <c r="G1175" i="1"/>
  <c r="G1176" i="1"/>
  <c r="G1177" i="1"/>
  <c r="G1178" i="1"/>
  <c r="G1179" i="1"/>
  <c r="G1180" i="1"/>
  <c r="G1181" i="1"/>
  <c r="G1182" i="1"/>
  <c r="G1183" i="1"/>
  <c r="G1184" i="1"/>
  <c r="G1185" i="1"/>
  <c r="G1186" i="1"/>
  <c r="G1187" i="1"/>
  <c r="G1188" i="1"/>
  <c r="G1189" i="1"/>
  <c r="G1190" i="1"/>
  <c r="G1191" i="1"/>
  <c r="G1192" i="1"/>
  <c r="G1193" i="1"/>
  <c r="G1194" i="1"/>
  <c r="G1195" i="1"/>
  <c r="G1196" i="1"/>
  <c r="G1197" i="1"/>
  <c r="G1198" i="1"/>
  <c r="G1199" i="1"/>
  <c r="G1200" i="1"/>
  <c r="G1201" i="1"/>
  <c r="G1202" i="1"/>
  <c r="G1203" i="1"/>
  <c r="G1204" i="1"/>
  <c r="G1205" i="1"/>
  <c r="G1206" i="1"/>
  <c r="G1207" i="1"/>
  <c r="G1208" i="1"/>
  <c r="G1209" i="1"/>
  <c r="G1210" i="1"/>
  <c r="G1211" i="1"/>
  <c r="G1212" i="1"/>
  <c r="G1213" i="1"/>
  <c r="G1214" i="1"/>
  <c r="G1215" i="1"/>
  <c r="G1216" i="1"/>
  <c r="G1217" i="1"/>
  <c r="G1218" i="1"/>
  <c r="G1219" i="1"/>
  <c r="G1220" i="1"/>
  <c r="G1221" i="1"/>
  <c r="G1222" i="1"/>
  <c r="G1223" i="1"/>
  <c r="G1224" i="1"/>
  <c r="G1225" i="1"/>
  <c r="G1226" i="1"/>
  <c r="G1227" i="1"/>
  <c r="G1228" i="1"/>
  <c r="G1229" i="1"/>
  <c r="G1230" i="1"/>
  <c r="G1231" i="1"/>
  <c r="G1232" i="1"/>
  <c r="G1233" i="1"/>
  <c r="G1234" i="1"/>
  <c r="G1235" i="1"/>
  <c r="G1236" i="1"/>
  <c r="G1237" i="1"/>
  <c r="G1238" i="1"/>
  <c r="G1239" i="1"/>
  <c r="G1240" i="1"/>
  <c r="G1241" i="1"/>
  <c r="G1242" i="1"/>
  <c r="G1243" i="1"/>
  <c r="G1244" i="1"/>
  <c r="G1245" i="1"/>
  <c r="G1246" i="1"/>
  <c r="G1247" i="1"/>
  <c r="G1248" i="1"/>
  <c r="G1249" i="1"/>
  <c r="G1250" i="1"/>
  <c r="G1251" i="1"/>
  <c r="G1252" i="1"/>
  <c r="G1253" i="1"/>
  <c r="G1254" i="1"/>
  <c r="G1255" i="1"/>
  <c r="G1256" i="1"/>
  <c r="G1257" i="1"/>
  <c r="G1258" i="1"/>
  <c r="G1259" i="1"/>
  <c r="G1260" i="1"/>
  <c r="G1261" i="1"/>
  <c r="G1262" i="1"/>
  <c r="G1263" i="1"/>
  <c r="G1264" i="1"/>
  <c r="G1265" i="1"/>
  <c r="G1266" i="1"/>
  <c r="G1267" i="1"/>
  <c r="G1268" i="1"/>
  <c r="G1269" i="1"/>
  <c r="G1270" i="1"/>
  <c r="G1271" i="1"/>
  <c r="G1272" i="1"/>
  <c r="G1273" i="1"/>
  <c r="G1274" i="1"/>
  <c r="G1275" i="1"/>
  <c r="G1276" i="1"/>
  <c r="G1277" i="1"/>
  <c r="G1278" i="1"/>
  <c r="G1279" i="1"/>
  <c r="G1280" i="1"/>
  <c r="G1281" i="1"/>
  <c r="G1282" i="1"/>
  <c r="G1283" i="1"/>
  <c r="G1284" i="1"/>
  <c r="G1285" i="1"/>
  <c r="G1286" i="1"/>
  <c r="G1287" i="1"/>
  <c r="G1288" i="1"/>
  <c r="G1289" i="1"/>
  <c r="G1290" i="1"/>
  <c r="G1291" i="1"/>
  <c r="G1292" i="1"/>
  <c r="G1293" i="1"/>
  <c r="G1294" i="1"/>
  <c r="G1295" i="1"/>
  <c r="G1296" i="1"/>
  <c r="G1297" i="1"/>
  <c r="G1298" i="1"/>
  <c r="G1299" i="1"/>
  <c r="G1300" i="1"/>
  <c r="G1301" i="1"/>
  <c r="G1302" i="1"/>
  <c r="G1303" i="1"/>
  <c r="G1304" i="1"/>
  <c r="G1305" i="1"/>
  <c r="G1306" i="1"/>
  <c r="G1307" i="1"/>
  <c r="G1308" i="1"/>
  <c r="G1309" i="1"/>
  <c r="G1310" i="1"/>
  <c r="G1311" i="1"/>
  <c r="G1312" i="1"/>
  <c r="G1313" i="1"/>
  <c r="G1314" i="1"/>
  <c r="G1315" i="1"/>
  <c r="G1316" i="1"/>
  <c r="G1317" i="1"/>
  <c r="G1318" i="1"/>
  <c r="G1319" i="1"/>
  <c r="G1320" i="1"/>
  <c r="G1321" i="1"/>
  <c r="G1322" i="1"/>
  <c r="G1323" i="1"/>
  <c r="G1324" i="1"/>
  <c r="G1325" i="1"/>
  <c r="G1326" i="1"/>
  <c r="G1327" i="1"/>
  <c r="G1328" i="1"/>
  <c r="G1329" i="1"/>
  <c r="G1330" i="1"/>
  <c r="G1331" i="1"/>
  <c r="G1332" i="1"/>
  <c r="G1333" i="1"/>
  <c r="G1334" i="1"/>
  <c r="G1335" i="1"/>
  <c r="G1336" i="1"/>
  <c r="G1337" i="1"/>
  <c r="G1338" i="1"/>
  <c r="G1339" i="1"/>
  <c r="G1340" i="1"/>
  <c r="G1341" i="1"/>
  <c r="G1342" i="1"/>
  <c r="G1343" i="1"/>
  <c r="G1344" i="1"/>
  <c r="G1345" i="1"/>
  <c r="G1346" i="1"/>
  <c r="G1347" i="1"/>
  <c r="G1348" i="1"/>
  <c r="G1349" i="1"/>
  <c r="G1350" i="1"/>
  <c r="G1351" i="1"/>
  <c r="G1352" i="1"/>
  <c r="G1353" i="1"/>
  <c r="G1354" i="1"/>
  <c r="G1355" i="1"/>
  <c r="G1356" i="1"/>
  <c r="G1357" i="1"/>
  <c r="G1358" i="1"/>
  <c r="G1359" i="1"/>
  <c r="G1360" i="1"/>
  <c r="G1361" i="1"/>
  <c r="G1362" i="1"/>
  <c r="G1363" i="1"/>
  <c r="G1364" i="1"/>
  <c r="G1365" i="1"/>
  <c r="G1366" i="1"/>
  <c r="G1367" i="1"/>
  <c r="G1368" i="1"/>
  <c r="G1369" i="1"/>
  <c r="G1370" i="1"/>
  <c r="G1371" i="1"/>
  <c r="G1372" i="1"/>
  <c r="G1373" i="1"/>
  <c r="G1374" i="1"/>
  <c r="G1375" i="1"/>
  <c r="G1376" i="1"/>
  <c r="G1377" i="1"/>
  <c r="G1378" i="1"/>
  <c r="G1379" i="1"/>
  <c r="G1380" i="1"/>
  <c r="G1381" i="1"/>
  <c r="G1382" i="1"/>
  <c r="G1383" i="1"/>
  <c r="G1384" i="1"/>
  <c r="G1385" i="1"/>
  <c r="G1386" i="1"/>
  <c r="G1387" i="1"/>
  <c r="G1388" i="1"/>
  <c r="G1389" i="1"/>
  <c r="G1390" i="1"/>
  <c r="G1391" i="1"/>
  <c r="G1392" i="1"/>
  <c r="G1393" i="1"/>
  <c r="G1394" i="1"/>
  <c r="G1395" i="1"/>
  <c r="G1396" i="1"/>
  <c r="G1397" i="1"/>
  <c r="G1398" i="1"/>
  <c r="G1399" i="1"/>
  <c r="G1400" i="1"/>
  <c r="G1401" i="1"/>
  <c r="G1402" i="1"/>
  <c r="G1403" i="1"/>
  <c r="G1404" i="1"/>
  <c r="G1405" i="1"/>
  <c r="G1406" i="1"/>
  <c r="G1407" i="1"/>
  <c r="G1408" i="1"/>
  <c r="G1409" i="1"/>
  <c r="G1410" i="1"/>
  <c r="G1411" i="1"/>
  <c r="G1412" i="1"/>
  <c r="G1413" i="1"/>
  <c r="G1414" i="1"/>
  <c r="G1415" i="1"/>
  <c r="G1416" i="1"/>
  <c r="G1417" i="1"/>
  <c r="G1418" i="1"/>
  <c r="G1419" i="1"/>
  <c r="G1420" i="1"/>
  <c r="G1421" i="1"/>
  <c r="G1422" i="1"/>
  <c r="G1423" i="1"/>
  <c r="G1424" i="1"/>
  <c r="G1425" i="1"/>
  <c r="G1426" i="1"/>
  <c r="G1427" i="1"/>
  <c r="G1428" i="1"/>
  <c r="G1429" i="1"/>
  <c r="G1430" i="1"/>
  <c r="G1431" i="1"/>
  <c r="G1432" i="1"/>
  <c r="G1433" i="1"/>
  <c r="G1434" i="1"/>
  <c r="G1435" i="1"/>
  <c r="G1436" i="1"/>
  <c r="G1437" i="1"/>
  <c r="G1438" i="1"/>
  <c r="G1439" i="1"/>
  <c r="G1440" i="1"/>
  <c r="G1441" i="1"/>
  <c r="G1442" i="1"/>
  <c r="G1443" i="1"/>
  <c r="G1444" i="1"/>
  <c r="G1445" i="1"/>
  <c r="G1446" i="1"/>
  <c r="G1447" i="1"/>
  <c r="G1448" i="1"/>
  <c r="G1449" i="1"/>
  <c r="G1450" i="1"/>
  <c r="G1451" i="1"/>
  <c r="G1452" i="1"/>
  <c r="G1453" i="1"/>
  <c r="G1454" i="1"/>
  <c r="G1455" i="1"/>
  <c r="G1456" i="1"/>
  <c r="G1457" i="1"/>
  <c r="G1458" i="1"/>
  <c r="G1459" i="1"/>
  <c r="G1460" i="1"/>
  <c r="G1461" i="1"/>
  <c r="G1462" i="1"/>
  <c r="G1463" i="1"/>
  <c r="G1464" i="1"/>
  <c r="G1465" i="1"/>
  <c r="G1466" i="1"/>
  <c r="G1467" i="1"/>
  <c r="G1468" i="1"/>
  <c r="G1469" i="1"/>
  <c r="G1470" i="1"/>
  <c r="G1471" i="1"/>
  <c r="G1472" i="1"/>
  <c r="G1473" i="1"/>
  <c r="G1474" i="1"/>
  <c r="G1475" i="1"/>
  <c r="G1476" i="1"/>
  <c r="G1477" i="1"/>
  <c r="G1478" i="1"/>
  <c r="G1479" i="1"/>
  <c r="G1480" i="1"/>
  <c r="G1481" i="1"/>
  <c r="G1482" i="1"/>
  <c r="G1483" i="1"/>
  <c r="G1484" i="1"/>
  <c r="G1485" i="1"/>
  <c r="G1486" i="1"/>
  <c r="G1487" i="1"/>
  <c r="G1488" i="1"/>
  <c r="G1489" i="1"/>
  <c r="G1490" i="1"/>
  <c r="G1491" i="1"/>
  <c r="G1492" i="1"/>
  <c r="G1493" i="1"/>
  <c r="G1494" i="1"/>
  <c r="G1495" i="1"/>
  <c r="G1496" i="1"/>
  <c r="G1497" i="1"/>
  <c r="G1498" i="1"/>
  <c r="G1499" i="1"/>
  <c r="G1500" i="1"/>
  <c r="G1501" i="1"/>
  <c r="G1502" i="1"/>
  <c r="G1503" i="1"/>
  <c r="G1504" i="1"/>
  <c r="G1505" i="1"/>
  <c r="G1506" i="1"/>
  <c r="G1507" i="1"/>
  <c r="G1508" i="1"/>
  <c r="G1509" i="1"/>
  <c r="G1510" i="1"/>
  <c r="G1511" i="1"/>
  <c r="G1512" i="1"/>
  <c r="G1513" i="1"/>
  <c r="G1514" i="1"/>
  <c r="G1515" i="1"/>
  <c r="G1516" i="1"/>
  <c r="G1517" i="1"/>
  <c r="G1518" i="1"/>
  <c r="G1519" i="1"/>
  <c r="G1520" i="1"/>
  <c r="G1521" i="1"/>
  <c r="G1522" i="1"/>
  <c r="G1523" i="1"/>
  <c r="G1524" i="1"/>
  <c r="G1525" i="1"/>
  <c r="G1526" i="1"/>
  <c r="G1527" i="1"/>
  <c r="G1528" i="1"/>
  <c r="G1529" i="1"/>
  <c r="G1530" i="1"/>
  <c r="G1531" i="1"/>
  <c r="G1532" i="1"/>
  <c r="G1533" i="1"/>
  <c r="G1534" i="1"/>
  <c r="G1535" i="1"/>
  <c r="G1536" i="1"/>
  <c r="G1537" i="1"/>
  <c r="G1538" i="1"/>
  <c r="G1539" i="1"/>
  <c r="G1540" i="1"/>
  <c r="G1541" i="1"/>
  <c r="G1542" i="1"/>
  <c r="G1543" i="1"/>
  <c r="G1544" i="1"/>
  <c r="G1545" i="1"/>
  <c r="G1546" i="1"/>
  <c r="G1547" i="1"/>
  <c r="G1548" i="1"/>
  <c r="G1549" i="1"/>
  <c r="G1550" i="1"/>
  <c r="G1551" i="1"/>
  <c r="G1552" i="1"/>
  <c r="G1553" i="1"/>
  <c r="G1554" i="1"/>
  <c r="G1555" i="1"/>
  <c r="G1556" i="1"/>
  <c r="G1557" i="1"/>
  <c r="G1558" i="1"/>
  <c r="G1559" i="1"/>
  <c r="G1560" i="1"/>
  <c r="G1561" i="1"/>
  <c r="G1562" i="1"/>
  <c r="G1563" i="1"/>
  <c r="G1564" i="1"/>
  <c r="G1565" i="1"/>
  <c r="G1566" i="1"/>
  <c r="G1567" i="1"/>
  <c r="G1568" i="1"/>
  <c r="G1569" i="1"/>
  <c r="G1570" i="1"/>
  <c r="G1571" i="1"/>
  <c r="G1572" i="1"/>
  <c r="G1573" i="1"/>
  <c r="G1574" i="1"/>
  <c r="G1575" i="1"/>
  <c r="G1576" i="1"/>
  <c r="G1577" i="1"/>
  <c r="G1578" i="1"/>
  <c r="G1579" i="1"/>
  <c r="G1580" i="1"/>
  <c r="G1581" i="1"/>
  <c r="G1582" i="1"/>
  <c r="G1583" i="1"/>
  <c r="G1584" i="1"/>
  <c r="G1585" i="1"/>
  <c r="G1586" i="1"/>
  <c r="G1587" i="1"/>
  <c r="G1588" i="1"/>
  <c r="G1589" i="1"/>
  <c r="G1590" i="1"/>
  <c r="G1591" i="1"/>
  <c r="G1592" i="1"/>
  <c r="G1593" i="1"/>
  <c r="G1594" i="1"/>
  <c r="G1595" i="1"/>
  <c r="G1596" i="1"/>
  <c r="G1597" i="1"/>
  <c r="G1598" i="1"/>
  <c r="G1599" i="1"/>
  <c r="G1600" i="1"/>
  <c r="G1601" i="1"/>
  <c r="G1602" i="1"/>
  <c r="G1603" i="1"/>
  <c r="G1604" i="1"/>
  <c r="G1605" i="1"/>
  <c r="G1606" i="1"/>
  <c r="G1607" i="1"/>
  <c r="G1608" i="1"/>
  <c r="G1609" i="1"/>
  <c r="G1610" i="1"/>
  <c r="G1611" i="1"/>
  <c r="G1612" i="1"/>
  <c r="G1613" i="1"/>
  <c r="G1614" i="1"/>
  <c r="G1615" i="1"/>
  <c r="G1616" i="1"/>
  <c r="G1617" i="1"/>
  <c r="G1618" i="1"/>
  <c r="G1619" i="1"/>
  <c r="G1620" i="1"/>
  <c r="G1621" i="1"/>
  <c r="G1622" i="1"/>
  <c r="G1623" i="1"/>
  <c r="G1624" i="1"/>
  <c r="G1625" i="1"/>
  <c r="G1626" i="1"/>
  <c r="G1627" i="1"/>
  <c r="G1628" i="1"/>
  <c r="G1629" i="1"/>
  <c r="G1630" i="1"/>
  <c r="G1631" i="1"/>
  <c r="G1632" i="1"/>
  <c r="G1633" i="1"/>
  <c r="G1634" i="1"/>
  <c r="G1635" i="1"/>
  <c r="G1636" i="1"/>
  <c r="G1637" i="1"/>
  <c r="G1638" i="1"/>
  <c r="G1639" i="1"/>
  <c r="G1640" i="1"/>
  <c r="G1641" i="1"/>
  <c r="G1642" i="1"/>
  <c r="G1643" i="1"/>
  <c r="G1644" i="1"/>
  <c r="G1645" i="1"/>
  <c r="G1646" i="1"/>
  <c r="G1647" i="1"/>
  <c r="G1648" i="1"/>
  <c r="G1649" i="1"/>
  <c r="G1650" i="1"/>
  <c r="G1651" i="1"/>
  <c r="G1652" i="1"/>
  <c r="G1653" i="1"/>
  <c r="G1654" i="1"/>
  <c r="G1655" i="1"/>
  <c r="G1656" i="1"/>
  <c r="G1657" i="1"/>
  <c r="G1658" i="1"/>
  <c r="G1659" i="1"/>
  <c r="G1660" i="1"/>
  <c r="G1661" i="1"/>
  <c r="G1662" i="1"/>
  <c r="G1663" i="1"/>
  <c r="G1664" i="1"/>
  <c r="G1665" i="1"/>
  <c r="G1666" i="1"/>
  <c r="G1667" i="1"/>
  <c r="G1668" i="1"/>
  <c r="G1669" i="1"/>
  <c r="G1670" i="1"/>
  <c r="G1671" i="1"/>
  <c r="G1672" i="1"/>
  <c r="G1673" i="1"/>
  <c r="G1674" i="1"/>
  <c r="G1675" i="1"/>
  <c r="G1676" i="1"/>
  <c r="G1677" i="1"/>
  <c r="G1678" i="1"/>
  <c r="G1679" i="1"/>
  <c r="G1680" i="1"/>
  <c r="G1681" i="1"/>
  <c r="G1682" i="1"/>
  <c r="G1683" i="1"/>
  <c r="G1684" i="1"/>
  <c r="G1685" i="1"/>
  <c r="G1686" i="1"/>
  <c r="G1687" i="1"/>
  <c r="G1688" i="1"/>
  <c r="G1689" i="1"/>
  <c r="G1690" i="1"/>
  <c r="G1691" i="1"/>
  <c r="G1692" i="1"/>
  <c r="G1693" i="1"/>
  <c r="G1694" i="1"/>
  <c r="G1695" i="1"/>
  <c r="G1696" i="1"/>
  <c r="G1697" i="1"/>
  <c r="G1698" i="1"/>
  <c r="G1699" i="1"/>
  <c r="G1700" i="1"/>
  <c r="G1701" i="1"/>
  <c r="G1702" i="1"/>
  <c r="G1703" i="1"/>
  <c r="G1704" i="1"/>
  <c r="G1705" i="1"/>
  <c r="G1706" i="1"/>
  <c r="G1707" i="1"/>
  <c r="G1708" i="1"/>
  <c r="G1709" i="1"/>
  <c r="G1710" i="1"/>
  <c r="G1711" i="1"/>
  <c r="G1712" i="1"/>
  <c r="G1713" i="1"/>
  <c r="G1714" i="1"/>
  <c r="G1715" i="1"/>
  <c r="G1716" i="1"/>
  <c r="G1717" i="1"/>
  <c r="G1718" i="1"/>
  <c r="G1719" i="1"/>
  <c r="G1720" i="1"/>
  <c r="G1721" i="1"/>
  <c r="G1722" i="1"/>
  <c r="G1723" i="1"/>
  <c r="G1724" i="1"/>
  <c r="G1725" i="1"/>
  <c r="G1726" i="1"/>
  <c r="G1727" i="1"/>
  <c r="G1728" i="1"/>
  <c r="G1729" i="1"/>
  <c r="G1730" i="1"/>
  <c r="G1731" i="1"/>
  <c r="G1732" i="1"/>
  <c r="G1733" i="1"/>
  <c r="G1734" i="1"/>
  <c r="G1735" i="1"/>
  <c r="G1736" i="1"/>
  <c r="G1737" i="1"/>
  <c r="G1738" i="1"/>
  <c r="G1739" i="1"/>
  <c r="G1740" i="1"/>
  <c r="G1741" i="1"/>
  <c r="G1742" i="1"/>
  <c r="G1743" i="1"/>
  <c r="G1744" i="1"/>
  <c r="G1745" i="1"/>
  <c r="G1746" i="1"/>
  <c r="G1747" i="1"/>
  <c r="G1748" i="1"/>
  <c r="G1749" i="1"/>
  <c r="G1750" i="1"/>
  <c r="G1751" i="1"/>
  <c r="G1752" i="1"/>
  <c r="G1753" i="1"/>
  <c r="G1754" i="1"/>
  <c r="G1755" i="1"/>
  <c r="G1756" i="1"/>
  <c r="G1757" i="1"/>
  <c r="G1758" i="1"/>
  <c r="G1759" i="1"/>
  <c r="G1760" i="1"/>
  <c r="G1761" i="1"/>
  <c r="G1762" i="1"/>
  <c r="G1763" i="1"/>
  <c r="G1764" i="1"/>
  <c r="G1765"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G1805" i="1"/>
  <c r="G1806" i="1"/>
  <c r="G1807" i="1"/>
  <c r="G1808" i="1"/>
  <c r="G1809" i="1"/>
  <c r="G1810" i="1"/>
  <c r="G1811" i="1"/>
  <c r="G1812" i="1"/>
  <c r="G1813" i="1"/>
  <c r="G1814" i="1"/>
  <c r="G1815" i="1"/>
  <c r="G1816" i="1"/>
  <c r="G1817" i="1"/>
  <c r="G1818" i="1"/>
  <c r="G1819" i="1"/>
  <c r="G1820" i="1"/>
  <c r="G1821" i="1"/>
  <c r="G1822" i="1"/>
  <c r="G1823" i="1"/>
  <c r="G1824" i="1"/>
  <c r="G1825" i="1"/>
  <c r="G1826" i="1"/>
  <c r="G1827" i="1"/>
  <c r="G1828" i="1"/>
  <c r="G1829" i="1"/>
  <c r="G1830" i="1"/>
  <c r="G1831" i="1"/>
  <c r="G1832" i="1"/>
  <c r="G1833" i="1"/>
  <c r="G1834" i="1"/>
  <c r="G1835" i="1"/>
  <c r="G1836" i="1"/>
  <c r="G1837" i="1"/>
  <c r="G1838" i="1"/>
  <c r="G1839" i="1"/>
  <c r="G1840" i="1"/>
  <c r="G1841" i="1"/>
  <c r="G1842" i="1"/>
  <c r="G1843" i="1"/>
  <c r="G1844" i="1"/>
  <c r="G1845" i="1"/>
  <c r="G1846" i="1"/>
  <c r="G1847" i="1"/>
  <c r="G1848" i="1"/>
  <c r="G1849" i="1"/>
  <c r="G1850" i="1"/>
  <c r="G1851" i="1"/>
  <c r="G1852" i="1"/>
  <c r="G1853" i="1"/>
  <c r="G1854" i="1"/>
  <c r="G1855" i="1"/>
  <c r="G1856" i="1"/>
  <c r="G1857" i="1"/>
  <c r="G1858" i="1"/>
  <c r="G1859" i="1"/>
  <c r="G1860" i="1"/>
  <c r="G1861" i="1"/>
  <c r="G1862" i="1"/>
  <c r="G1863" i="1"/>
  <c r="G1864" i="1"/>
  <c r="G1865" i="1"/>
  <c r="G1866" i="1"/>
  <c r="G1867" i="1"/>
  <c r="G1868" i="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G1894" i="1"/>
  <c r="G1895" i="1"/>
  <c r="G1896" i="1"/>
  <c r="G1897" i="1"/>
  <c r="G1898" i="1"/>
  <c r="G1899" i="1"/>
  <c r="G1900" i="1"/>
  <c r="G1901" i="1"/>
  <c r="G1902" i="1"/>
  <c r="G1903" i="1"/>
  <c r="G1904" i="1"/>
  <c r="G1905" i="1"/>
  <c r="G1906" i="1"/>
  <c r="G1907" i="1"/>
  <c r="G1908" i="1"/>
  <c r="G1909" i="1"/>
  <c r="G1910" i="1"/>
  <c r="G1911" i="1"/>
  <c r="G1912" i="1"/>
  <c r="G1913" i="1"/>
  <c r="G1914" i="1"/>
  <c r="G1915" i="1"/>
  <c r="G1916" i="1"/>
  <c r="G1917" i="1"/>
  <c r="G1918" i="1"/>
  <c r="G1919" i="1"/>
  <c r="G1920" i="1"/>
  <c r="G1921" i="1"/>
  <c r="G1922" i="1"/>
  <c r="G1923" i="1"/>
  <c r="G1924" i="1"/>
  <c r="G1925" i="1"/>
  <c r="G1926" i="1"/>
  <c r="G1927" i="1"/>
  <c r="G1928" i="1"/>
  <c r="G1929" i="1"/>
  <c r="G1930" i="1"/>
  <c r="G1931" i="1"/>
  <c r="G1932" i="1"/>
  <c r="G1933" i="1"/>
  <c r="G1934" i="1"/>
  <c r="G1935" i="1"/>
  <c r="G1936" i="1"/>
  <c r="G1937" i="1"/>
  <c r="G1938" i="1"/>
  <c r="G1939" i="1"/>
  <c r="G1940" i="1"/>
  <c r="G1941" i="1"/>
  <c r="G1942" i="1"/>
  <c r="G1943" i="1"/>
  <c r="G1944" i="1"/>
  <c r="G1945" i="1"/>
  <c r="G1946" i="1"/>
  <c r="G1947" i="1"/>
  <c r="G1948" i="1"/>
  <c r="G1949" i="1"/>
  <c r="G1950" i="1"/>
  <c r="G1951" i="1"/>
  <c r="G1952" i="1"/>
  <c r="G1953" i="1"/>
  <c r="G1954" i="1"/>
  <c r="G1955" i="1"/>
  <c r="G1956" i="1"/>
  <c r="G1957" i="1"/>
  <c r="G1958" i="1"/>
  <c r="G1959" i="1"/>
  <c r="G1960" i="1"/>
  <c r="G1961" i="1"/>
  <c r="G1962" i="1"/>
  <c r="G1963" i="1"/>
  <c r="G1964" i="1"/>
  <c r="G1965" i="1"/>
  <c r="G1966" i="1"/>
  <c r="G1967" i="1"/>
  <c r="G1968" i="1"/>
  <c r="G1969" i="1"/>
  <c r="G1970" i="1"/>
  <c r="G1971" i="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F13" i="1"/>
  <c r="F14" i="1"/>
  <c r="F15" i="1"/>
  <c r="F16" i="1"/>
  <c r="F7" i="1"/>
  <c r="F3" i="1"/>
  <c r="F4" i="1"/>
  <c r="F5" i="1"/>
  <c r="F2" i="1"/>
  <c r="F9" i="1"/>
  <c r="F10" i="1"/>
  <c r="F8" i="1"/>
  <c r="F6" i="1"/>
  <c r="F11" i="1"/>
  <c r="F17" i="1"/>
  <c r="F18" i="1"/>
  <c r="F19" i="1"/>
  <c r="F20" i="1"/>
  <c r="F21" i="1"/>
  <c r="F22" i="1"/>
  <c r="F23" i="1"/>
  <c r="F24" i="1"/>
  <c r="F25" i="1"/>
  <c r="F26" i="1"/>
  <c r="F27" i="1"/>
  <c r="F28" i="1"/>
  <c r="F29" i="1"/>
  <c r="F30" i="1"/>
  <c r="F31" i="1"/>
  <c r="F32" i="1"/>
  <c r="F33" i="1"/>
  <c r="F34" i="1"/>
  <c r="F35" i="1"/>
  <c r="F36" i="1"/>
  <c r="F37" i="1"/>
  <c r="F38" i="1"/>
  <c r="F39" i="1"/>
  <c r="F40" i="1"/>
  <c r="F41" i="1"/>
  <c r="F42" i="1"/>
  <c r="F43" i="1"/>
  <c r="F44" i="1"/>
  <c r="F45" i="1"/>
  <c r="F46" i="1"/>
  <c r="F47" i="1"/>
  <c r="F48" i="1"/>
  <c r="F49" i="1"/>
  <c r="F50" i="1"/>
  <c r="F51" i="1"/>
  <c r="F52" i="1"/>
  <c r="F53" i="1"/>
  <c r="F54" i="1"/>
  <c r="F55" i="1"/>
  <c r="F56" i="1"/>
  <c r="F57" i="1"/>
  <c r="F58" i="1"/>
  <c r="F59" i="1"/>
  <c r="F60" i="1"/>
  <c r="F61" i="1"/>
  <c r="F62" i="1"/>
  <c r="F63" i="1"/>
  <c r="F64" i="1"/>
  <c r="F65" i="1"/>
  <c r="F66" i="1"/>
  <c r="F67" i="1"/>
  <c r="F68" i="1"/>
  <c r="F69" i="1"/>
  <c r="F70" i="1"/>
  <c r="F71" i="1"/>
  <c r="F72" i="1"/>
  <c r="F73" i="1"/>
  <c r="F74" i="1"/>
  <c r="F75" i="1"/>
  <c r="F76" i="1"/>
  <c r="F77" i="1"/>
  <c r="F78" i="1"/>
  <c r="F79" i="1"/>
  <c r="F80" i="1"/>
  <c r="F81" i="1"/>
  <c r="F82" i="1"/>
  <c r="F83" i="1"/>
  <c r="F84" i="1"/>
  <c r="F85" i="1"/>
  <c r="F86" i="1"/>
  <c r="F87" i="1"/>
  <c r="F88" i="1"/>
  <c r="F89" i="1"/>
  <c r="F90" i="1"/>
  <c r="F91" i="1"/>
  <c r="F92" i="1"/>
  <c r="F93" i="1"/>
  <c r="F94" i="1"/>
  <c r="F95" i="1"/>
  <c r="F96" i="1"/>
  <c r="F97" i="1"/>
  <c r="F98" i="1"/>
  <c r="F99" i="1"/>
  <c r="F100" i="1"/>
  <c r="F101" i="1"/>
  <c r="F102" i="1"/>
  <c r="F103" i="1"/>
  <c r="F104" i="1"/>
  <c r="F105" i="1"/>
  <c r="F106" i="1"/>
  <c r="F107" i="1"/>
  <c r="F108" i="1"/>
  <c r="F109" i="1"/>
  <c r="F110" i="1"/>
  <c r="F111" i="1"/>
  <c r="F112" i="1"/>
  <c r="F113" i="1"/>
  <c r="F114" i="1"/>
  <c r="F115" i="1"/>
  <c r="F116" i="1"/>
  <c r="F117" i="1"/>
  <c r="F118" i="1"/>
  <c r="F119" i="1"/>
  <c r="F120" i="1"/>
  <c r="F121" i="1"/>
  <c r="F122" i="1"/>
  <c r="F123" i="1"/>
  <c r="F124" i="1"/>
  <c r="F125" i="1"/>
  <c r="F126" i="1"/>
  <c r="F127" i="1"/>
  <c r="F128" i="1"/>
  <c r="F129" i="1"/>
  <c r="F130" i="1"/>
  <c r="F131" i="1"/>
  <c r="F132" i="1"/>
  <c r="F133" i="1"/>
  <c r="F134" i="1"/>
  <c r="F135" i="1"/>
  <c r="F136" i="1"/>
  <c r="F137" i="1"/>
  <c r="F138" i="1"/>
  <c r="F139" i="1"/>
  <c r="F140" i="1"/>
  <c r="F141" i="1"/>
  <c r="F142" i="1"/>
  <c r="F143" i="1"/>
  <c r="F144" i="1"/>
  <c r="F145" i="1"/>
  <c r="F146" i="1"/>
  <c r="F147" i="1"/>
  <c r="F148" i="1"/>
  <c r="F149" i="1"/>
  <c r="F150" i="1"/>
  <c r="F151" i="1"/>
  <c r="F152" i="1"/>
  <c r="F153" i="1"/>
  <c r="F154" i="1"/>
  <c r="F155" i="1"/>
  <c r="F156" i="1"/>
  <c r="F157" i="1"/>
  <c r="F158" i="1"/>
  <c r="F159" i="1"/>
  <c r="F160" i="1"/>
  <c r="F161" i="1"/>
  <c r="F162" i="1"/>
  <c r="F163" i="1"/>
  <c r="F164" i="1"/>
  <c r="F165" i="1"/>
  <c r="F166" i="1"/>
  <c r="F167" i="1"/>
  <c r="F168" i="1"/>
  <c r="F169" i="1"/>
  <c r="F170" i="1"/>
  <c r="F171" i="1"/>
  <c r="F172" i="1"/>
  <c r="F173" i="1"/>
  <c r="F174" i="1"/>
  <c r="F175" i="1"/>
  <c r="F176" i="1"/>
  <c r="F177" i="1"/>
  <c r="F178" i="1"/>
  <c r="F179" i="1"/>
  <c r="F180" i="1"/>
  <c r="F181" i="1"/>
  <c r="F182" i="1"/>
  <c r="F183" i="1"/>
  <c r="F184" i="1"/>
  <c r="F185" i="1"/>
  <c r="F186" i="1"/>
  <c r="F187" i="1"/>
  <c r="F188" i="1"/>
  <c r="F189" i="1"/>
  <c r="F190" i="1"/>
  <c r="F191" i="1"/>
  <c r="F192" i="1"/>
  <c r="F193" i="1"/>
  <c r="F194" i="1"/>
  <c r="F195" i="1"/>
  <c r="F196" i="1"/>
  <c r="F197" i="1"/>
  <c r="F198" i="1"/>
  <c r="F199" i="1"/>
  <c r="F200" i="1"/>
  <c r="F201" i="1"/>
  <c r="F202" i="1"/>
  <c r="F203" i="1"/>
  <c r="F204" i="1"/>
  <c r="F205" i="1"/>
  <c r="F206" i="1"/>
  <c r="F207" i="1"/>
  <c r="F208" i="1"/>
  <c r="F209" i="1"/>
  <c r="F210" i="1"/>
  <c r="F211" i="1"/>
  <c r="F212" i="1"/>
  <c r="F213" i="1"/>
  <c r="F214" i="1"/>
  <c r="F215" i="1"/>
  <c r="F216" i="1"/>
  <c r="F217" i="1"/>
  <c r="F218" i="1"/>
  <c r="F219" i="1"/>
  <c r="F220" i="1"/>
  <c r="F221" i="1"/>
  <c r="F222" i="1"/>
  <c r="F223" i="1"/>
  <c r="F224" i="1"/>
  <c r="F225" i="1"/>
  <c r="F226" i="1"/>
  <c r="F227" i="1"/>
  <c r="F228" i="1"/>
  <c r="F229" i="1"/>
  <c r="F230" i="1"/>
  <c r="F231" i="1"/>
  <c r="F232" i="1"/>
  <c r="F233" i="1"/>
  <c r="F234" i="1"/>
  <c r="F235" i="1"/>
  <c r="F236" i="1"/>
  <c r="F237" i="1"/>
  <c r="F238" i="1"/>
  <c r="F239" i="1"/>
  <c r="F240" i="1"/>
  <c r="F241" i="1"/>
  <c r="F242" i="1"/>
  <c r="F243" i="1"/>
  <c r="F244" i="1"/>
  <c r="F245" i="1"/>
  <c r="F246" i="1"/>
  <c r="F247" i="1"/>
  <c r="F248" i="1"/>
  <c r="F249" i="1"/>
  <c r="F250" i="1"/>
  <c r="F251" i="1"/>
  <c r="F252" i="1"/>
  <c r="F253" i="1"/>
  <c r="F254" i="1"/>
  <c r="F255" i="1"/>
  <c r="F256" i="1"/>
  <c r="F257" i="1"/>
  <c r="F258" i="1"/>
  <c r="F259" i="1"/>
  <c r="F260" i="1"/>
  <c r="F261" i="1"/>
  <c r="F262" i="1"/>
  <c r="F263" i="1"/>
  <c r="F264" i="1"/>
  <c r="F265" i="1"/>
  <c r="F266" i="1"/>
  <c r="F267" i="1"/>
  <c r="F268" i="1"/>
  <c r="F269" i="1"/>
  <c r="F270" i="1"/>
  <c r="F271" i="1"/>
  <c r="F272" i="1"/>
  <c r="F273" i="1"/>
  <c r="F274" i="1"/>
  <c r="F275" i="1"/>
  <c r="F276" i="1"/>
  <c r="F277" i="1"/>
  <c r="F278" i="1"/>
  <c r="F279" i="1"/>
  <c r="F280" i="1"/>
  <c r="F281" i="1"/>
  <c r="F282" i="1"/>
  <c r="F283" i="1"/>
  <c r="F284" i="1"/>
  <c r="F285" i="1"/>
  <c r="F286" i="1"/>
  <c r="F287" i="1"/>
  <c r="F288" i="1"/>
  <c r="F289" i="1"/>
  <c r="F290" i="1"/>
  <c r="F291" i="1"/>
  <c r="F292" i="1"/>
  <c r="F293" i="1"/>
  <c r="F294" i="1"/>
  <c r="F295" i="1"/>
  <c r="F296" i="1"/>
  <c r="F297" i="1"/>
  <c r="F298" i="1"/>
  <c r="F299" i="1"/>
  <c r="F300" i="1"/>
  <c r="F301" i="1"/>
  <c r="F302" i="1"/>
  <c r="F303" i="1"/>
  <c r="F304" i="1"/>
  <c r="F305" i="1"/>
  <c r="F306" i="1"/>
  <c r="F307" i="1"/>
  <c r="F308" i="1"/>
  <c r="F309" i="1"/>
  <c r="F310" i="1"/>
  <c r="F311" i="1"/>
  <c r="F312" i="1"/>
  <c r="F313" i="1"/>
  <c r="F314" i="1"/>
  <c r="F315" i="1"/>
  <c r="F316" i="1"/>
  <c r="F317" i="1"/>
  <c r="F318" i="1"/>
  <c r="F319" i="1"/>
  <c r="F320" i="1"/>
  <c r="F321" i="1"/>
  <c r="F322" i="1"/>
  <c r="F323" i="1"/>
  <c r="F324" i="1"/>
  <c r="F325" i="1"/>
  <c r="F326" i="1"/>
  <c r="F327" i="1"/>
  <c r="F328" i="1"/>
  <c r="F329" i="1"/>
  <c r="F330" i="1"/>
  <c r="F331" i="1"/>
  <c r="F332" i="1"/>
  <c r="F333" i="1"/>
  <c r="F334" i="1"/>
  <c r="F335" i="1"/>
  <c r="F336" i="1"/>
  <c r="F337" i="1"/>
  <c r="F338" i="1"/>
  <c r="F339" i="1"/>
  <c r="F340" i="1"/>
  <c r="F341" i="1"/>
  <c r="F342" i="1"/>
  <c r="F343" i="1"/>
  <c r="F344" i="1"/>
  <c r="F345" i="1"/>
  <c r="F346" i="1"/>
  <c r="F347" i="1"/>
  <c r="F348" i="1"/>
  <c r="F349" i="1"/>
  <c r="F350" i="1"/>
  <c r="F351" i="1"/>
  <c r="F352" i="1"/>
  <c r="F353" i="1"/>
  <c r="F354" i="1"/>
  <c r="F355" i="1"/>
  <c r="F356" i="1"/>
  <c r="F357" i="1"/>
  <c r="F358" i="1"/>
  <c r="F359" i="1"/>
  <c r="F360" i="1"/>
  <c r="F361" i="1"/>
  <c r="F362" i="1"/>
  <c r="F363" i="1"/>
  <c r="F364" i="1"/>
  <c r="F365" i="1"/>
  <c r="F366" i="1"/>
  <c r="F367" i="1"/>
  <c r="F368" i="1"/>
  <c r="F369" i="1"/>
  <c r="F370" i="1"/>
  <c r="F371" i="1"/>
  <c r="F372" i="1"/>
  <c r="F373" i="1"/>
  <c r="F374" i="1"/>
  <c r="F375" i="1"/>
  <c r="F376" i="1"/>
  <c r="F377" i="1"/>
  <c r="F378" i="1"/>
  <c r="F379" i="1"/>
  <c r="F380" i="1"/>
  <c r="F381" i="1"/>
  <c r="F382" i="1"/>
  <c r="F383" i="1"/>
  <c r="F384" i="1"/>
  <c r="F385" i="1"/>
  <c r="F386" i="1"/>
  <c r="F387" i="1"/>
  <c r="F388" i="1"/>
  <c r="F389" i="1"/>
  <c r="F390" i="1"/>
  <c r="F391" i="1"/>
  <c r="F392" i="1"/>
  <c r="F393" i="1"/>
  <c r="F394" i="1"/>
  <c r="F395" i="1"/>
  <c r="F396" i="1"/>
  <c r="F397" i="1"/>
  <c r="F398" i="1"/>
  <c r="F399" i="1"/>
  <c r="F400" i="1"/>
  <c r="F401" i="1"/>
  <c r="F402" i="1"/>
  <c r="F403" i="1"/>
  <c r="F404" i="1"/>
  <c r="F405" i="1"/>
  <c r="F406" i="1"/>
  <c r="F407" i="1"/>
  <c r="F408" i="1"/>
  <c r="F409" i="1"/>
  <c r="F410" i="1"/>
  <c r="F411" i="1"/>
  <c r="F412" i="1"/>
  <c r="F413" i="1"/>
  <c r="F414" i="1"/>
  <c r="F415" i="1"/>
  <c r="F416" i="1"/>
  <c r="F417" i="1"/>
  <c r="F418" i="1"/>
  <c r="F419" i="1"/>
  <c r="F420" i="1"/>
  <c r="F421" i="1"/>
  <c r="F422" i="1"/>
  <c r="F423" i="1"/>
  <c r="F424" i="1"/>
  <c r="F425" i="1"/>
  <c r="F426" i="1"/>
  <c r="F427" i="1"/>
  <c r="F428" i="1"/>
  <c r="F429" i="1"/>
  <c r="F430" i="1"/>
  <c r="F431" i="1"/>
  <c r="F432" i="1"/>
  <c r="F433" i="1"/>
  <c r="F434" i="1"/>
  <c r="F435" i="1"/>
  <c r="F436" i="1"/>
  <c r="F437" i="1"/>
  <c r="F438" i="1"/>
  <c r="F439" i="1"/>
  <c r="F440" i="1"/>
  <c r="F441" i="1"/>
  <c r="F442" i="1"/>
  <c r="F443" i="1"/>
  <c r="F444" i="1"/>
  <c r="F445" i="1"/>
  <c r="F446" i="1"/>
  <c r="F447" i="1"/>
  <c r="F448" i="1"/>
  <c r="F449" i="1"/>
  <c r="F450" i="1"/>
  <c r="F451" i="1"/>
  <c r="F452" i="1"/>
  <c r="F453" i="1"/>
  <c r="F454" i="1"/>
  <c r="F455" i="1"/>
  <c r="F456" i="1"/>
  <c r="F457" i="1"/>
  <c r="F458" i="1"/>
  <c r="F459" i="1"/>
  <c r="F460" i="1"/>
  <c r="F461" i="1"/>
  <c r="F462" i="1"/>
  <c r="F463" i="1"/>
  <c r="F464" i="1"/>
  <c r="F465" i="1"/>
  <c r="F466" i="1"/>
  <c r="F467" i="1"/>
  <c r="F468" i="1"/>
  <c r="F469" i="1"/>
  <c r="F470" i="1"/>
  <c r="F471" i="1"/>
  <c r="F472" i="1"/>
  <c r="F473" i="1"/>
  <c r="F474" i="1"/>
  <c r="F475" i="1"/>
  <c r="F476" i="1"/>
  <c r="F477" i="1"/>
  <c r="F478" i="1"/>
  <c r="F479" i="1"/>
  <c r="F480" i="1"/>
  <c r="F481" i="1"/>
  <c r="F482" i="1"/>
  <c r="F483" i="1"/>
  <c r="F484" i="1"/>
  <c r="F485" i="1"/>
  <c r="F486" i="1"/>
  <c r="F487" i="1"/>
  <c r="F488" i="1"/>
  <c r="F489" i="1"/>
  <c r="F490" i="1"/>
  <c r="F491" i="1"/>
  <c r="F492" i="1"/>
  <c r="F493" i="1"/>
  <c r="F494" i="1"/>
  <c r="F495" i="1"/>
  <c r="F496" i="1"/>
  <c r="F497" i="1"/>
  <c r="F498" i="1"/>
  <c r="F499" i="1"/>
  <c r="F500" i="1"/>
  <c r="F501" i="1"/>
  <c r="F502" i="1"/>
  <c r="F503" i="1"/>
  <c r="F504" i="1"/>
  <c r="F505" i="1"/>
  <c r="F506" i="1"/>
  <c r="F507" i="1"/>
  <c r="F508" i="1"/>
  <c r="F509" i="1"/>
  <c r="F510" i="1"/>
  <c r="F511" i="1"/>
  <c r="F512" i="1"/>
  <c r="F513" i="1"/>
  <c r="F514" i="1"/>
  <c r="F515" i="1"/>
  <c r="F516" i="1"/>
  <c r="F517" i="1"/>
  <c r="F518" i="1"/>
  <c r="F519" i="1"/>
  <c r="F520" i="1"/>
  <c r="F521" i="1"/>
  <c r="F522" i="1"/>
  <c r="F523" i="1"/>
  <c r="F524" i="1"/>
  <c r="F525" i="1"/>
  <c r="F526" i="1"/>
  <c r="F527" i="1"/>
  <c r="F528" i="1"/>
  <c r="F529" i="1"/>
  <c r="F530" i="1"/>
  <c r="F531" i="1"/>
  <c r="F532" i="1"/>
  <c r="F533" i="1"/>
  <c r="F534" i="1"/>
  <c r="F535" i="1"/>
  <c r="F536" i="1"/>
  <c r="F537" i="1"/>
  <c r="F538" i="1"/>
  <c r="F539" i="1"/>
  <c r="F540" i="1"/>
  <c r="F541" i="1"/>
  <c r="F542" i="1"/>
  <c r="F543" i="1"/>
  <c r="F544" i="1"/>
  <c r="F545" i="1"/>
  <c r="F546" i="1"/>
  <c r="F547" i="1"/>
  <c r="F548" i="1"/>
  <c r="F549" i="1"/>
  <c r="F550" i="1"/>
  <c r="F551" i="1"/>
  <c r="F552" i="1"/>
  <c r="F553" i="1"/>
  <c r="F554" i="1"/>
  <c r="F555" i="1"/>
  <c r="F556" i="1"/>
  <c r="F557" i="1"/>
  <c r="F558" i="1"/>
  <c r="F559" i="1"/>
  <c r="F560" i="1"/>
  <c r="F561" i="1"/>
  <c r="F562" i="1"/>
  <c r="F563" i="1"/>
  <c r="F564" i="1"/>
  <c r="F565" i="1"/>
  <c r="F566" i="1"/>
  <c r="F567" i="1"/>
  <c r="F568" i="1"/>
  <c r="F569" i="1"/>
  <c r="F570" i="1"/>
  <c r="F571" i="1"/>
  <c r="F572" i="1"/>
  <c r="F573" i="1"/>
  <c r="F574" i="1"/>
  <c r="F575" i="1"/>
  <c r="F576" i="1"/>
  <c r="F577" i="1"/>
  <c r="F578" i="1"/>
  <c r="F579" i="1"/>
  <c r="F580" i="1"/>
  <c r="F581" i="1"/>
  <c r="F582" i="1"/>
  <c r="F583" i="1"/>
  <c r="F584" i="1"/>
  <c r="F585" i="1"/>
  <c r="F586" i="1"/>
  <c r="F587" i="1"/>
  <c r="F588" i="1"/>
  <c r="F589" i="1"/>
  <c r="F590" i="1"/>
  <c r="F591" i="1"/>
  <c r="F592" i="1"/>
  <c r="F593" i="1"/>
  <c r="F594" i="1"/>
  <c r="F595" i="1"/>
  <c r="F596" i="1"/>
  <c r="F597" i="1"/>
  <c r="F598" i="1"/>
  <c r="F599" i="1"/>
  <c r="F600" i="1"/>
  <c r="F601" i="1"/>
  <c r="F602" i="1"/>
  <c r="F603" i="1"/>
  <c r="F604" i="1"/>
  <c r="F605" i="1"/>
  <c r="F606" i="1"/>
  <c r="F607" i="1"/>
  <c r="F608" i="1"/>
  <c r="F609" i="1"/>
  <c r="F610" i="1"/>
  <c r="F611" i="1"/>
  <c r="F612" i="1"/>
  <c r="F613" i="1"/>
  <c r="F614" i="1"/>
  <c r="F615" i="1"/>
  <c r="F616" i="1"/>
  <c r="F617" i="1"/>
  <c r="F618" i="1"/>
  <c r="F619" i="1"/>
  <c r="F620" i="1"/>
  <c r="F621" i="1"/>
  <c r="F622" i="1"/>
  <c r="F623" i="1"/>
  <c r="F624" i="1"/>
  <c r="F625" i="1"/>
  <c r="F626" i="1"/>
  <c r="F627" i="1"/>
  <c r="F628" i="1"/>
  <c r="F629" i="1"/>
  <c r="F630" i="1"/>
  <c r="F631" i="1"/>
  <c r="F632" i="1"/>
  <c r="F633" i="1"/>
  <c r="F634" i="1"/>
  <c r="F635" i="1"/>
  <c r="F636" i="1"/>
  <c r="F637" i="1"/>
  <c r="F638" i="1"/>
  <c r="F639" i="1"/>
  <c r="F640" i="1"/>
  <c r="F641" i="1"/>
  <c r="F642" i="1"/>
  <c r="F643" i="1"/>
  <c r="F644" i="1"/>
  <c r="F645" i="1"/>
  <c r="F646" i="1"/>
  <c r="F647" i="1"/>
  <c r="F648" i="1"/>
  <c r="F649" i="1"/>
  <c r="F650" i="1"/>
  <c r="F651" i="1"/>
  <c r="F652" i="1"/>
  <c r="F653" i="1"/>
  <c r="F654" i="1"/>
  <c r="F655" i="1"/>
  <c r="F656" i="1"/>
  <c r="F657" i="1"/>
  <c r="F658" i="1"/>
  <c r="F659" i="1"/>
  <c r="F660" i="1"/>
  <c r="F661" i="1"/>
  <c r="F662" i="1"/>
  <c r="F663" i="1"/>
  <c r="F664" i="1"/>
  <c r="F665" i="1"/>
  <c r="F666" i="1"/>
  <c r="F667" i="1"/>
  <c r="F668" i="1"/>
  <c r="F669" i="1"/>
  <c r="F670" i="1"/>
  <c r="F671" i="1"/>
  <c r="F672" i="1"/>
  <c r="F673" i="1"/>
  <c r="F674" i="1"/>
  <c r="F675" i="1"/>
  <c r="F676" i="1"/>
  <c r="F677" i="1"/>
  <c r="F678" i="1"/>
  <c r="F679" i="1"/>
  <c r="F680" i="1"/>
  <c r="F681" i="1"/>
  <c r="F682" i="1"/>
  <c r="F683" i="1"/>
  <c r="F684" i="1"/>
  <c r="F685" i="1"/>
  <c r="F686" i="1"/>
  <c r="F687" i="1"/>
  <c r="F688" i="1"/>
  <c r="F689" i="1"/>
  <c r="F690" i="1"/>
  <c r="F691" i="1"/>
  <c r="F692" i="1"/>
  <c r="F693" i="1"/>
  <c r="F694" i="1"/>
  <c r="F695" i="1"/>
  <c r="F696" i="1"/>
  <c r="F697" i="1"/>
  <c r="F698" i="1"/>
  <c r="F699" i="1"/>
  <c r="F700" i="1"/>
  <c r="F701" i="1"/>
  <c r="F702" i="1"/>
  <c r="F703" i="1"/>
  <c r="F704" i="1"/>
  <c r="F705" i="1"/>
  <c r="F706" i="1"/>
  <c r="F707" i="1"/>
  <c r="F708" i="1"/>
  <c r="F709" i="1"/>
  <c r="F710" i="1"/>
  <c r="F711" i="1"/>
  <c r="F712" i="1"/>
  <c r="F713" i="1"/>
  <c r="F714" i="1"/>
  <c r="F715" i="1"/>
  <c r="F716" i="1"/>
  <c r="F717" i="1"/>
  <c r="F718" i="1"/>
  <c r="F719" i="1"/>
  <c r="F720" i="1"/>
  <c r="F721" i="1"/>
  <c r="F722" i="1"/>
  <c r="F723" i="1"/>
  <c r="F724" i="1"/>
  <c r="F725" i="1"/>
  <c r="F726" i="1"/>
  <c r="F727" i="1"/>
  <c r="F728" i="1"/>
  <c r="F729" i="1"/>
  <c r="F730" i="1"/>
  <c r="F731" i="1"/>
  <c r="F732" i="1"/>
  <c r="F733" i="1"/>
  <c r="F734" i="1"/>
  <c r="F735" i="1"/>
  <c r="F736" i="1"/>
  <c r="F737" i="1"/>
  <c r="F738" i="1"/>
  <c r="F739" i="1"/>
  <c r="F740" i="1"/>
  <c r="F741" i="1"/>
  <c r="F742" i="1"/>
  <c r="F743" i="1"/>
  <c r="F744" i="1"/>
  <c r="F745" i="1"/>
  <c r="F746" i="1"/>
  <c r="F747" i="1"/>
  <c r="F748" i="1"/>
  <c r="F749" i="1"/>
  <c r="F750" i="1"/>
  <c r="F751" i="1"/>
  <c r="F752" i="1"/>
  <c r="F753" i="1"/>
  <c r="F754" i="1"/>
  <c r="F755" i="1"/>
  <c r="F756" i="1"/>
  <c r="F757" i="1"/>
  <c r="F758" i="1"/>
  <c r="F759" i="1"/>
  <c r="F760" i="1"/>
  <c r="F761" i="1"/>
  <c r="F762" i="1"/>
  <c r="F763" i="1"/>
  <c r="F764" i="1"/>
  <c r="F765" i="1"/>
  <c r="F766" i="1"/>
  <c r="F767" i="1"/>
  <c r="F768" i="1"/>
  <c r="F769" i="1"/>
  <c r="F770" i="1"/>
  <c r="F771" i="1"/>
  <c r="F772" i="1"/>
  <c r="F773" i="1"/>
  <c r="F774" i="1"/>
  <c r="F775" i="1"/>
  <c r="F776" i="1"/>
  <c r="F777" i="1"/>
  <c r="F778" i="1"/>
  <c r="F779" i="1"/>
  <c r="F780" i="1"/>
  <c r="F781" i="1"/>
  <c r="F782" i="1"/>
  <c r="F783" i="1"/>
  <c r="F784" i="1"/>
  <c r="F785" i="1"/>
  <c r="F786" i="1"/>
  <c r="F787" i="1"/>
  <c r="F788" i="1"/>
  <c r="F789" i="1"/>
  <c r="F790" i="1"/>
  <c r="F791" i="1"/>
  <c r="F792" i="1"/>
  <c r="F793" i="1"/>
  <c r="F794" i="1"/>
  <c r="F795" i="1"/>
  <c r="F796" i="1"/>
  <c r="F797" i="1"/>
  <c r="F798" i="1"/>
  <c r="F799" i="1"/>
  <c r="F800" i="1"/>
  <c r="F801" i="1"/>
  <c r="F802" i="1"/>
  <c r="F803" i="1"/>
  <c r="F804" i="1"/>
  <c r="F805" i="1"/>
  <c r="F806" i="1"/>
  <c r="F807" i="1"/>
  <c r="F808" i="1"/>
  <c r="F809" i="1"/>
  <c r="F810" i="1"/>
  <c r="F811" i="1"/>
  <c r="F812" i="1"/>
  <c r="F813" i="1"/>
  <c r="F814" i="1"/>
  <c r="F815" i="1"/>
  <c r="F816" i="1"/>
  <c r="F817" i="1"/>
  <c r="F818" i="1"/>
  <c r="F819" i="1"/>
  <c r="F820" i="1"/>
  <c r="F821" i="1"/>
  <c r="F822" i="1"/>
  <c r="F823" i="1"/>
  <c r="F824" i="1"/>
  <c r="F825" i="1"/>
  <c r="F826" i="1"/>
  <c r="F827" i="1"/>
  <c r="F828" i="1"/>
  <c r="F829" i="1"/>
  <c r="F830" i="1"/>
  <c r="F831" i="1"/>
  <c r="F832" i="1"/>
  <c r="F833" i="1"/>
  <c r="F834" i="1"/>
  <c r="F835" i="1"/>
  <c r="F836" i="1"/>
  <c r="F837" i="1"/>
  <c r="F838" i="1"/>
  <c r="F839" i="1"/>
  <c r="F840" i="1"/>
  <c r="F841" i="1"/>
  <c r="F842" i="1"/>
  <c r="F843" i="1"/>
  <c r="F844" i="1"/>
  <c r="F845" i="1"/>
  <c r="F846" i="1"/>
  <c r="F847" i="1"/>
  <c r="F848" i="1"/>
  <c r="F849" i="1"/>
  <c r="F850" i="1"/>
  <c r="F851" i="1"/>
  <c r="F852" i="1"/>
  <c r="F853" i="1"/>
  <c r="F854" i="1"/>
  <c r="F855" i="1"/>
  <c r="F856" i="1"/>
  <c r="F857" i="1"/>
  <c r="F858" i="1"/>
  <c r="F859" i="1"/>
  <c r="F860" i="1"/>
  <c r="F861" i="1"/>
  <c r="F862" i="1"/>
  <c r="F863" i="1"/>
  <c r="F864" i="1"/>
  <c r="F865" i="1"/>
  <c r="F866" i="1"/>
  <c r="F867" i="1"/>
  <c r="F868" i="1"/>
  <c r="F869" i="1"/>
  <c r="F870" i="1"/>
  <c r="F871" i="1"/>
  <c r="F872" i="1"/>
  <c r="F873" i="1"/>
  <c r="F874" i="1"/>
  <c r="F875" i="1"/>
  <c r="F876" i="1"/>
  <c r="F877" i="1"/>
  <c r="F878" i="1"/>
  <c r="F879" i="1"/>
  <c r="F880" i="1"/>
  <c r="F881" i="1"/>
  <c r="F882" i="1"/>
  <c r="F883" i="1"/>
  <c r="F884" i="1"/>
  <c r="F885" i="1"/>
  <c r="F886" i="1"/>
  <c r="F887" i="1"/>
  <c r="F888" i="1"/>
  <c r="F889" i="1"/>
  <c r="F890" i="1"/>
  <c r="F891" i="1"/>
  <c r="F892" i="1"/>
  <c r="F893" i="1"/>
  <c r="F894" i="1"/>
  <c r="F895" i="1"/>
  <c r="F896" i="1"/>
  <c r="F897" i="1"/>
  <c r="F898" i="1"/>
  <c r="F899" i="1"/>
  <c r="F900" i="1"/>
  <c r="F901" i="1"/>
  <c r="F902" i="1"/>
  <c r="F903" i="1"/>
  <c r="F904" i="1"/>
  <c r="F905" i="1"/>
  <c r="F906" i="1"/>
  <c r="F907" i="1"/>
  <c r="F908" i="1"/>
  <c r="F909" i="1"/>
  <c r="F910" i="1"/>
  <c r="F911" i="1"/>
  <c r="F912" i="1"/>
  <c r="F913" i="1"/>
  <c r="F914" i="1"/>
  <c r="F915" i="1"/>
  <c r="F916" i="1"/>
  <c r="F917" i="1"/>
  <c r="F918" i="1"/>
  <c r="F919" i="1"/>
  <c r="F920" i="1"/>
  <c r="F921" i="1"/>
  <c r="F922" i="1"/>
  <c r="F923" i="1"/>
  <c r="F924" i="1"/>
  <c r="F925" i="1"/>
  <c r="F926" i="1"/>
  <c r="F927" i="1"/>
  <c r="F928" i="1"/>
  <c r="F929" i="1"/>
  <c r="F930" i="1"/>
  <c r="F931" i="1"/>
  <c r="F932" i="1"/>
  <c r="F933" i="1"/>
  <c r="F934" i="1"/>
  <c r="F935" i="1"/>
  <c r="F936" i="1"/>
  <c r="F937" i="1"/>
  <c r="F938" i="1"/>
  <c r="F939" i="1"/>
  <c r="F940" i="1"/>
  <c r="F941" i="1"/>
  <c r="F942" i="1"/>
  <c r="F943" i="1"/>
  <c r="F944" i="1"/>
  <c r="F945" i="1"/>
  <c r="F946" i="1"/>
  <c r="F947" i="1"/>
  <c r="F948" i="1"/>
  <c r="F949" i="1"/>
  <c r="F950" i="1"/>
  <c r="F951" i="1"/>
  <c r="F952" i="1"/>
  <c r="F953" i="1"/>
  <c r="F954" i="1"/>
  <c r="F955" i="1"/>
  <c r="F956" i="1"/>
  <c r="F957" i="1"/>
  <c r="F958" i="1"/>
  <c r="F959" i="1"/>
  <c r="F960" i="1"/>
  <c r="F961" i="1"/>
  <c r="F962" i="1"/>
  <c r="F963" i="1"/>
  <c r="F964" i="1"/>
  <c r="F965" i="1"/>
  <c r="F966" i="1"/>
  <c r="F967" i="1"/>
  <c r="F968" i="1"/>
  <c r="F969" i="1"/>
  <c r="F970" i="1"/>
  <c r="F971" i="1"/>
  <c r="F972" i="1"/>
  <c r="F973" i="1"/>
  <c r="F974" i="1"/>
  <c r="F975" i="1"/>
  <c r="F976" i="1"/>
  <c r="F977" i="1"/>
  <c r="F978" i="1"/>
  <c r="F979" i="1"/>
  <c r="F980" i="1"/>
  <c r="F981" i="1"/>
  <c r="F982" i="1"/>
  <c r="F983" i="1"/>
  <c r="F984" i="1"/>
  <c r="F985" i="1"/>
  <c r="F986" i="1"/>
  <c r="F987" i="1"/>
  <c r="F988" i="1"/>
  <c r="F989" i="1"/>
  <c r="F990" i="1"/>
  <c r="F991" i="1"/>
  <c r="F992" i="1"/>
  <c r="F993" i="1"/>
  <c r="F994" i="1"/>
  <c r="F995" i="1"/>
  <c r="F996" i="1"/>
  <c r="F997" i="1"/>
  <c r="F998" i="1"/>
  <c r="F999" i="1"/>
  <c r="F1000" i="1"/>
  <c r="F1001" i="1"/>
  <c r="F1002" i="1"/>
  <c r="F1003" i="1"/>
  <c r="F1004" i="1"/>
  <c r="F1005" i="1"/>
  <c r="F1006" i="1"/>
  <c r="F1007" i="1"/>
  <c r="F1008" i="1"/>
  <c r="F1009" i="1"/>
  <c r="F1010" i="1"/>
  <c r="F1011" i="1"/>
  <c r="F1012" i="1"/>
  <c r="F1013" i="1"/>
  <c r="F1014" i="1"/>
  <c r="F1015" i="1"/>
  <c r="F1016" i="1"/>
  <c r="F1017" i="1"/>
  <c r="F1018" i="1"/>
  <c r="F1019" i="1"/>
  <c r="F1020" i="1"/>
  <c r="F1021" i="1"/>
  <c r="F1022" i="1"/>
  <c r="F1023" i="1"/>
  <c r="F1024" i="1"/>
  <c r="F1025" i="1"/>
  <c r="F1026" i="1"/>
  <c r="F1027" i="1"/>
  <c r="F1028" i="1"/>
  <c r="F1029" i="1"/>
  <c r="F1030" i="1"/>
  <c r="F1031" i="1"/>
  <c r="F1032" i="1"/>
  <c r="F1033" i="1"/>
  <c r="F1034" i="1"/>
  <c r="F1035" i="1"/>
  <c r="F1036" i="1"/>
  <c r="F1037" i="1"/>
  <c r="F1038" i="1"/>
  <c r="F1039" i="1"/>
  <c r="F1040" i="1"/>
  <c r="F1041" i="1"/>
  <c r="F1042" i="1"/>
  <c r="F1043" i="1"/>
  <c r="F1044" i="1"/>
  <c r="F1045" i="1"/>
  <c r="F1046" i="1"/>
  <c r="F1047" i="1"/>
  <c r="F1048" i="1"/>
  <c r="F1049" i="1"/>
  <c r="F1050" i="1"/>
  <c r="F1051" i="1"/>
  <c r="F1052" i="1"/>
  <c r="F1053" i="1"/>
  <c r="F1054" i="1"/>
  <c r="F1055" i="1"/>
  <c r="F1056" i="1"/>
  <c r="F1057" i="1"/>
  <c r="F1058" i="1"/>
  <c r="F1059" i="1"/>
  <c r="F1060" i="1"/>
  <c r="F1061" i="1"/>
  <c r="F1062" i="1"/>
  <c r="F1063" i="1"/>
  <c r="F1064" i="1"/>
  <c r="F1065" i="1"/>
  <c r="F1066" i="1"/>
  <c r="F1067" i="1"/>
  <c r="F1068" i="1"/>
  <c r="F1069" i="1"/>
  <c r="F1070" i="1"/>
  <c r="F1071" i="1"/>
  <c r="F1072" i="1"/>
  <c r="F1073" i="1"/>
  <c r="F1074" i="1"/>
  <c r="F1075" i="1"/>
  <c r="F1076" i="1"/>
  <c r="F1077" i="1"/>
  <c r="F1078" i="1"/>
  <c r="F1079" i="1"/>
  <c r="F1080" i="1"/>
  <c r="F1081" i="1"/>
  <c r="F1082" i="1"/>
  <c r="F1083" i="1"/>
  <c r="F1084" i="1"/>
  <c r="F1085" i="1"/>
  <c r="F1086" i="1"/>
  <c r="F1087" i="1"/>
  <c r="F1088" i="1"/>
  <c r="F1089" i="1"/>
  <c r="F1090" i="1"/>
  <c r="F1091" i="1"/>
  <c r="F1092" i="1"/>
  <c r="F1093" i="1"/>
  <c r="F1094" i="1"/>
  <c r="F1095" i="1"/>
  <c r="F1096" i="1"/>
  <c r="F1097" i="1"/>
  <c r="F1098" i="1"/>
  <c r="F1099" i="1"/>
  <c r="F1100" i="1"/>
  <c r="F1101" i="1"/>
  <c r="F1102" i="1"/>
  <c r="F1103" i="1"/>
  <c r="F1104" i="1"/>
  <c r="F1105" i="1"/>
  <c r="F1106" i="1"/>
  <c r="F1107" i="1"/>
  <c r="F1108" i="1"/>
  <c r="F1109" i="1"/>
  <c r="F1110" i="1"/>
  <c r="F1111" i="1"/>
  <c r="F1112" i="1"/>
  <c r="F1113" i="1"/>
  <c r="F1114" i="1"/>
  <c r="F1115" i="1"/>
  <c r="F1116" i="1"/>
  <c r="F1117" i="1"/>
  <c r="F1118" i="1"/>
  <c r="F1119" i="1"/>
  <c r="F1120" i="1"/>
  <c r="F1121" i="1"/>
  <c r="F1122" i="1"/>
  <c r="F1123" i="1"/>
  <c r="F1124" i="1"/>
  <c r="F1125" i="1"/>
  <c r="F1126" i="1"/>
  <c r="F1127" i="1"/>
  <c r="F1128" i="1"/>
  <c r="F1129" i="1"/>
  <c r="F1130" i="1"/>
  <c r="F1131" i="1"/>
  <c r="F1132" i="1"/>
  <c r="F1133" i="1"/>
  <c r="F1134" i="1"/>
  <c r="F1135" i="1"/>
  <c r="F1136" i="1"/>
  <c r="F1137" i="1"/>
  <c r="F1138" i="1"/>
  <c r="F1139" i="1"/>
  <c r="F1140" i="1"/>
  <c r="F1141" i="1"/>
  <c r="F1142" i="1"/>
  <c r="F1143" i="1"/>
  <c r="F1144" i="1"/>
  <c r="F1145" i="1"/>
  <c r="F1146" i="1"/>
  <c r="F1147" i="1"/>
  <c r="F1148" i="1"/>
  <c r="F1149" i="1"/>
  <c r="F1150" i="1"/>
  <c r="F1151" i="1"/>
  <c r="F1152" i="1"/>
  <c r="F1153" i="1"/>
  <c r="F1154" i="1"/>
  <c r="F1155" i="1"/>
  <c r="F1156" i="1"/>
  <c r="F1157" i="1"/>
  <c r="F1158" i="1"/>
  <c r="F1159" i="1"/>
  <c r="F1160" i="1"/>
  <c r="F1161" i="1"/>
  <c r="F1162" i="1"/>
  <c r="F1163" i="1"/>
  <c r="F1164" i="1"/>
  <c r="F1165" i="1"/>
  <c r="F1166" i="1"/>
  <c r="F1167" i="1"/>
  <c r="F1168" i="1"/>
  <c r="F1169" i="1"/>
  <c r="F1170" i="1"/>
  <c r="F1171" i="1"/>
  <c r="F1172" i="1"/>
  <c r="F1173" i="1"/>
  <c r="F1174" i="1"/>
  <c r="F1175" i="1"/>
  <c r="F1176" i="1"/>
  <c r="F1177" i="1"/>
  <c r="F1178" i="1"/>
  <c r="F1179" i="1"/>
  <c r="F1180" i="1"/>
  <c r="F1181" i="1"/>
  <c r="F1182" i="1"/>
  <c r="F1183" i="1"/>
  <c r="F1184" i="1"/>
  <c r="F1185" i="1"/>
  <c r="F1186" i="1"/>
  <c r="F1187" i="1"/>
  <c r="F1188" i="1"/>
  <c r="F1189" i="1"/>
  <c r="F1190" i="1"/>
  <c r="F1191" i="1"/>
  <c r="F1192" i="1"/>
  <c r="F1193" i="1"/>
  <c r="F1194" i="1"/>
  <c r="F1195" i="1"/>
  <c r="F1196" i="1"/>
  <c r="F1197" i="1"/>
  <c r="F1198" i="1"/>
  <c r="F1199" i="1"/>
  <c r="F1200" i="1"/>
  <c r="F1201" i="1"/>
  <c r="F1202" i="1"/>
  <c r="F1203" i="1"/>
  <c r="F1204" i="1"/>
  <c r="F1205" i="1"/>
  <c r="F1206" i="1"/>
  <c r="F1207" i="1"/>
  <c r="F1208" i="1"/>
  <c r="F1209" i="1"/>
  <c r="F1210" i="1"/>
  <c r="F1211" i="1"/>
  <c r="F1212" i="1"/>
  <c r="F1213" i="1"/>
  <c r="F1214" i="1"/>
  <c r="F1215" i="1"/>
  <c r="F1216" i="1"/>
  <c r="F1217" i="1"/>
  <c r="F1218" i="1"/>
  <c r="F1219" i="1"/>
  <c r="F1220" i="1"/>
  <c r="F1221" i="1"/>
  <c r="F1222" i="1"/>
  <c r="F1223" i="1"/>
  <c r="F1224" i="1"/>
  <c r="F1225" i="1"/>
  <c r="F1226" i="1"/>
  <c r="F1227" i="1"/>
  <c r="F1228" i="1"/>
  <c r="F1229" i="1"/>
  <c r="F1230" i="1"/>
  <c r="F1231" i="1"/>
  <c r="F1232" i="1"/>
  <c r="F1233" i="1"/>
  <c r="F1234" i="1"/>
  <c r="F1235" i="1"/>
  <c r="F1236" i="1"/>
  <c r="F1237" i="1"/>
  <c r="F1238" i="1"/>
  <c r="F1239" i="1"/>
  <c r="F1240" i="1"/>
  <c r="F1241" i="1"/>
  <c r="F1242" i="1"/>
  <c r="F1243" i="1"/>
  <c r="F1244" i="1"/>
  <c r="F1245" i="1"/>
  <c r="F1246" i="1"/>
  <c r="F1247" i="1"/>
  <c r="F1248" i="1"/>
  <c r="F1249" i="1"/>
  <c r="F1250" i="1"/>
  <c r="F1251" i="1"/>
  <c r="F1252" i="1"/>
  <c r="F1253" i="1"/>
  <c r="F1254" i="1"/>
  <c r="F1255" i="1"/>
  <c r="F1256" i="1"/>
  <c r="F1257" i="1"/>
  <c r="F1258" i="1"/>
  <c r="F1259" i="1"/>
  <c r="F1260" i="1"/>
  <c r="F1261" i="1"/>
  <c r="F1262" i="1"/>
  <c r="F1263" i="1"/>
  <c r="F1264" i="1"/>
  <c r="F1265" i="1"/>
  <c r="F1266" i="1"/>
  <c r="F1267" i="1"/>
  <c r="F1268" i="1"/>
  <c r="F1269" i="1"/>
  <c r="F1270" i="1"/>
  <c r="F1271" i="1"/>
  <c r="F1272" i="1"/>
  <c r="F1273" i="1"/>
  <c r="F1274" i="1"/>
  <c r="F1275" i="1"/>
  <c r="F1276" i="1"/>
  <c r="F1277" i="1"/>
  <c r="F1278" i="1"/>
  <c r="F1279" i="1"/>
  <c r="F1280" i="1"/>
  <c r="F1281" i="1"/>
  <c r="F1282" i="1"/>
  <c r="F1283" i="1"/>
  <c r="F1284" i="1"/>
  <c r="F1285" i="1"/>
  <c r="F1286" i="1"/>
  <c r="F1287" i="1"/>
  <c r="F1288" i="1"/>
  <c r="F1289" i="1"/>
  <c r="F1290" i="1"/>
  <c r="F1291" i="1"/>
  <c r="F1292" i="1"/>
  <c r="F1293" i="1"/>
  <c r="F1294" i="1"/>
  <c r="F1295" i="1"/>
  <c r="F1296" i="1"/>
  <c r="F1297" i="1"/>
  <c r="F1298" i="1"/>
  <c r="F1299" i="1"/>
  <c r="F1300" i="1"/>
  <c r="F1301" i="1"/>
  <c r="F1302" i="1"/>
  <c r="F1303" i="1"/>
  <c r="F1304" i="1"/>
  <c r="F1305" i="1"/>
  <c r="F1306" i="1"/>
  <c r="F1307" i="1"/>
  <c r="F1308" i="1"/>
  <c r="F1309" i="1"/>
  <c r="F1310" i="1"/>
  <c r="F1311" i="1"/>
  <c r="F1312" i="1"/>
  <c r="F1313" i="1"/>
  <c r="F1314" i="1"/>
  <c r="F1315" i="1"/>
  <c r="F1316" i="1"/>
  <c r="F1317" i="1"/>
  <c r="F1318" i="1"/>
  <c r="F1319" i="1"/>
  <c r="F1320" i="1"/>
  <c r="F1321" i="1"/>
  <c r="F1322" i="1"/>
  <c r="F1323" i="1"/>
  <c r="F1324" i="1"/>
  <c r="F1325" i="1"/>
  <c r="F1326" i="1"/>
  <c r="F1327" i="1"/>
  <c r="F1328" i="1"/>
  <c r="F1329" i="1"/>
  <c r="F1330" i="1"/>
  <c r="F1331" i="1"/>
  <c r="F1332" i="1"/>
  <c r="F1333" i="1"/>
  <c r="F1334" i="1"/>
  <c r="F1335" i="1"/>
  <c r="F1336" i="1"/>
  <c r="F1337" i="1"/>
  <c r="F1338" i="1"/>
  <c r="F1339" i="1"/>
  <c r="F1340" i="1"/>
  <c r="F1341" i="1"/>
  <c r="F1342" i="1"/>
  <c r="F1343" i="1"/>
  <c r="F1344" i="1"/>
  <c r="F1345" i="1"/>
  <c r="F1346" i="1"/>
  <c r="F1347" i="1"/>
  <c r="F1348" i="1"/>
  <c r="F1349" i="1"/>
  <c r="F1350" i="1"/>
  <c r="F1351" i="1"/>
  <c r="F1352" i="1"/>
  <c r="F1353" i="1"/>
  <c r="F1354" i="1"/>
  <c r="F1355" i="1"/>
  <c r="F1356" i="1"/>
  <c r="F1357" i="1"/>
  <c r="F1358" i="1"/>
  <c r="F1359" i="1"/>
  <c r="F1360" i="1"/>
  <c r="F1361" i="1"/>
  <c r="F1362" i="1"/>
  <c r="F1363" i="1"/>
  <c r="F1364" i="1"/>
  <c r="F1365" i="1"/>
  <c r="F1366" i="1"/>
  <c r="F1367" i="1"/>
  <c r="F1368" i="1"/>
  <c r="F1369" i="1"/>
  <c r="F1370" i="1"/>
  <c r="F1371" i="1"/>
  <c r="F1372" i="1"/>
  <c r="F1373" i="1"/>
  <c r="F1374" i="1"/>
  <c r="F1375" i="1"/>
  <c r="F1376" i="1"/>
  <c r="F1377" i="1"/>
  <c r="F1378" i="1"/>
  <c r="F1379" i="1"/>
  <c r="F1380" i="1"/>
  <c r="F1381" i="1"/>
  <c r="F1382" i="1"/>
  <c r="F1383" i="1"/>
  <c r="F1384" i="1"/>
  <c r="F1385" i="1"/>
  <c r="F1386" i="1"/>
  <c r="F1387" i="1"/>
  <c r="F1388" i="1"/>
  <c r="F1389" i="1"/>
  <c r="F1390" i="1"/>
  <c r="F1391" i="1"/>
  <c r="F1392" i="1"/>
  <c r="F1393" i="1"/>
  <c r="F1394" i="1"/>
  <c r="F1395" i="1"/>
  <c r="F1396" i="1"/>
  <c r="F1397" i="1"/>
  <c r="F1398" i="1"/>
  <c r="F1399" i="1"/>
  <c r="F1400" i="1"/>
  <c r="F1401" i="1"/>
  <c r="F1402" i="1"/>
  <c r="F1403" i="1"/>
  <c r="F1404" i="1"/>
  <c r="F1405" i="1"/>
  <c r="F1406" i="1"/>
  <c r="F1407" i="1"/>
  <c r="F1408" i="1"/>
  <c r="F1409" i="1"/>
  <c r="F1410" i="1"/>
  <c r="F1411" i="1"/>
  <c r="F1412" i="1"/>
  <c r="F1413" i="1"/>
  <c r="F1414" i="1"/>
  <c r="F1415" i="1"/>
  <c r="F1416" i="1"/>
  <c r="F1417" i="1"/>
  <c r="F1418" i="1"/>
  <c r="F1419" i="1"/>
  <c r="F1420" i="1"/>
  <c r="F1421" i="1"/>
  <c r="F1422" i="1"/>
  <c r="F1423" i="1"/>
  <c r="F1424" i="1"/>
  <c r="F1425" i="1"/>
  <c r="F1426" i="1"/>
  <c r="F1427" i="1"/>
  <c r="F1428" i="1"/>
  <c r="F1429" i="1"/>
  <c r="F1430" i="1"/>
  <c r="F1431" i="1"/>
  <c r="F1432" i="1"/>
  <c r="F1433" i="1"/>
  <c r="F1434" i="1"/>
  <c r="F1435" i="1"/>
  <c r="F1436" i="1"/>
  <c r="F1437" i="1"/>
  <c r="F1438" i="1"/>
  <c r="F1439" i="1"/>
  <c r="F1440" i="1"/>
  <c r="F1441" i="1"/>
  <c r="F1442" i="1"/>
  <c r="F1443" i="1"/>
  <c r="F1444" i="1"/>
  <c r="F1445" i="1"/>
  <c r="F1446" i="1"/>
  <c r="F1447" i="1"/>
  <c r="F1448" i="1"/>
  <c r="F1449" i="1"/>
  <c r="F1450" i="1"/>
  <c r="F1451" i="1"/>
  <c r="F1452" i="1"/>
  <c r="F1453" i="1"/>
  <c r="F1454" i="1"/>
  <c r="F1455" i="1"/>
  <c r="F1456" i="1"/>
  <c r="F1457" i="1"/>
  <c r="F1458" i="1"/>
  <c r="F1459" i="1"/>
  <c r="F1460" i="1"/>
  <c r="F1461" i="1"/>
  <c r="F1462" i="1"/>
  <c r="F1463" i="1"/>
  <c r="F1464" i="1"/>
  <c r="F1465" i="1"/>
  <c r="F1466" i="1"/>
  <c r="F1467" i="1"/>
  <c r="F1468" i="1"/>
  <c r="F1469" i="1"/>
  <c r="F1470" i="1"/>
  <c r="F1471" i="1"/>
  <c r="F1472" i="1"/>
  <c r="F1473" i="1"/>
  <c r="F1474" i="1"/>
  <c r="F1475" i="1"/>
  <c r="F1476" i="1"/>
  <c r="F1477" i="1"/>
  <c r="F1478" i="1"/>
  <c r="F1479" i="1"/>
  <c r="F1480" i="1"/>
  <c r="F1481" i="1"/>
  <c r="F1482" i="1"/>
  <c r="F1483" i="1"/>
  <c r="F1484" i="1"/>
  <c r="F1485" i="1"/>
  <c r="F1486" i="1"/>
  <c r="F1487" i="1"/>
  <c r="F1488" i="1"/>
  <c r="F1489" i="1"/>
  <c r="F1490" i="1"/>
  <c r="F1491" i="1"/>
  <c r="F1492" i="1"/>
  <c r="F1493" i="1"/>
  <c r="F1494" i="1"/>
  <c r="F1495" i="1"/>
  <c r="F1496" i="1"/>
  <c r="F1497" i="1"/>
  <c r="F1498" i="1"/>
  <c r="F1499" i="1"/>
  <c r="F1500" i="1"/>
  <c r="F1501" i="1"/>
  <c r="F1502" i="1"/>
  <c r="F1503" i="1"/>
  <c r="F1504" i="1"/>
  <c r="F1505" i="1"/>
  <c r="F1506" i="1"/>
  <c r="F1507" i="1"/>
  <c r="F1508" i="1"/>
  <c r="F1509" i="1"/>
  <c r="F1510" i="1"/>
  <c r="F1511" i="1"/>
  <c r="F1512" i="1"/>
  <c r="F1513" i="1"/>
  <c r="F1514" i="1"/>
  <c r="F1515" i="1"/>
  <c r="F1516" i="1"/>
  <c r="F1517" i="1"/>
  <c r="F1518" i="1"/>
  <c r="F1519" i="1"/>
  <c r="F1520" i="1"/>
  <c r="F1521" i="1"/>
  <c r="F1522" i="1"/>
  <c r="F1523" i="1"/>
  <c r="F1524" i="1"/>
  <c r="F1525" i="1"/>
  <c r="F1526" i="1"/>
  <c r="F1527" i="1"/>
  <c r="F1528" i="1"/>
  <c r="F1529" i="1"/>
  <c r="F1530" i="1"/>
  <c r="F1531" i="1"/>
  <c r="F1532" i="1"/>
  <c r="F1533" i="1"/>
  <c r="F1534" i="1"/>
  <c r="F1535" i="1"/>
  <c r="F1536" i="1"/>
  <c r="F1537" i="1"/>
  <c r="F1538" i="1"/>
  <c r="F1539" i="1"/>
  <c r="F1540" i="1"/>
  <c r="F1541" i="1"/>
  <c r="F1542" i="1"/>
  <c r="F1543" i="1"/>
  <c r="F1544" i="1"/>
  <c r="F1545" i="1"/>
  <c r="F1546" i="1"/>
  <c r="F1547" i="1"/>
  <c r="F1548" i="1"/>
  <c r="F1549" i="1"/>
  <c r="F1550" i="1"/>
  <c r="F1551" i="1"/>
  <c r="F1552" i="1"/>
  <c r="F1553" i="1"/>
  <c r="F1554" i="1"/>
  <c r="F1555" i="1"/>
  <c r="F1556" i="1"/>
  <c r="F1557" i="1"/>
  <c r="F1558" i="1"/>
  <c r="F1559" i="1"/>
  <c r="F1560" i="1"/>
  <c r="F1561" i="1"/>
  <c r="F1562" i="1"/>
  <c r="F1563" i="1"/>
  <c r="F1564" i="1"/>
  <c r="F1565" i="1"/>
  <c r="F1566" i="1"/>
  <c r="F1567" i="1"/>
  <c r="F1568" i="1"/>
  <c r="F1569" i="1"/>
  <c r="F1570" i="1"/>
  <c r="F1571" i="1"/>
  <c r="F1572" i="1"/>
  <c r="F1573" i="1"/>
  <c r="F1574" i="1"/>
  <c r="F1575" i="1"/>
  <c r="F1576" i="1"/>
  <c r="F1577" i="1"/>
  <c r="F1578" i="1"/>
  <c r="F1579" i="1"/>
  <c r="F1580" i="1"/>
  <c r="F1581" i="1"/>
  <c r="F1582" i="1"/>
  <c r="F1583" i="1"/>
  <c r="F1584" i="1"/>
  <c r="F1585" i="1"/>
  <c r="F1586" i="1"/>
  <c r="F1587" i="1"/>
  <c r="F1588" i="1"/>
  <c r="F1589" i="1"/>
  <c r="F1590" i="1"/>
  <c r="F1591" i="1"/>
  <c r="F1592" i="1"/>
  <c r="F1593" i="1"/>
  <c r="F1594" i="1"/>
  <c r="F1595" i="1"/>
  <c r="F1596" i="1"/>
  <c r="F1597" i="1"/>
  <c r="F1598" i="1"/>
  <c r="F1599" i="1"/>
  <c r="F1600" i="1"/>
  <c r="F1601" i="1"/>
  <c r="F1602" i="1"/>
  <c r="F1603" i="1"/>
  <c r="F1604" i="1"/>
  <c r="F1605" i="1"/>
  <c r="F1606" i="1"/>
  <c r="F1607" i="1"/>
  <c r="F1608" i="1"/>
  <c r="F1609" i="1"/>
  <c r="F1610" i="1"/>
  <c r="F1611" i="1"/>
  <c r="F1612" i="1"/>
  <c r="F1613" i="1"/>
  <c r="F1614" i="1"/>
  <c r="F1615" i="1"/>
  <c r="F1616" i="1"/>
  <c r="F1617" i="1"/>
  <c r="F1618" i="1"/>
  <c r="F1619" i="1"/>
  <c r="F1620" i="1"/>
  <c r="F1621" i="1"/>
  <c r="F1622" i="1"/>
  <c r="F1623" i="1"/>
  <c r="F1624" i="1"/>
  <c r="F1625" i="1"/>
  <c r="F1626" i="1"/>
  <c r="F1627" i="1"/>
  <c r="F1628" i="1"/>
  <c r="F1629" i="1"/>
  <c r="F1630" i="1"/>
  <c r="F1631" i="1"/>
  <c r="F1632" i="1"/>
  <c r="F1633" i="1"/>
  <c r="F1634" i="1"/>
  <c r="F1635" i="1"/>
  <c r="F1636" i="1"/>
  <c r="F1637" i="1"/>
  <c r="F1638" i="1"/>
  <c r="F1639" i="1"/>
  <c r="F1640" i="1"/>
  <c r="F1641" i="1"/>
  <c r="F1642" i="1"/>
  <c r="F1643" i="1"/>
  <c r="F1644" i="1"/>
  <c r="F1645" i="1"/>
  <c r="F1646" i="1"/>
  <c r="F1647" i="1"/>
  <c r="F1648" i="1"/>
  <c r="F1649" i="1"/>
  <c r="F1650" i="1"/>
  <c r="F1651" i="1"/>
  <c r="F1652" i="1"/>
  <c r="F1653" i="1"/>
  <c r="F1654" i="1"/>
  <c r="F1655" i="1"/>
  <c r="F1656" i="1"/>
  <c r="F1657" i="1"/>
  <c r="F1658" i="1"/>
  <c r="F1659" i="1"/>
  <c r="F1660" i="1"/>
  <c r="F1661" i="1"/>
  <c r="F1662" i="1"/>
  <c r="F1663" i="1"/>
  <c r="F1664" i="1"/>
  <c r="F1665" i="1"/>
  <c r="F1666" i="1"/>
  <c r="F1667" i="1"/>
  <c r="F1668" i="1"/>
  <c r="F1669" i="1"/>
  <c r="F1670" i="1"/>
  <c r="F1671" i="1"/>
  <c r="F1672" i="1"/>
  <c r="F1673" i="1"/>
  <c r="F1674" i="1"/>
  <c r="F1675" i="1"/>
  <c r="F1676" i="1"/>
  <c r="F1677" i="1"/>
  <c r="F1678" i="1"/>
  <c r="F1679" i="1"/>
  <c r="F1680" i="1"/>
  <c r="F1681" i="1"/>
  <c r="F1682" i="1"/>
  <c r="F1683" i="1"/>
  <c r="F1684" i="1"/>
  <c r="F1685" i="1"/>
  <c r="F1686" i="1"/>
  <c r="F1687" i="1"/>
  <c r="F1688" i="1"/>
  <c r="F1689" i="1"/>
  <c r="F1690" i="1"/>
  <c r="F1691" i="1"/>
  <c r="F1692" i="1"/>
  <c r="F1693" i="1"/>
  <c r="F1694" i="1"/>
  <c r="F1695" i="1"/>
  <c r="F1696" i="1"/>
  <c r="F1697" i="1"/>
  <c r="F1698" i="1"/>
  <c r="F1699" i="1"/>
  <c r="F1700" i="1"/>
  <c r="F1701" i="1"/>
  <c r="F1702" i="1"/>
  <c r="F1703" i="1"/>
  <c r="F1704" i="1"/>
  <c r="F1705" i="1"/>
  <c r="F1706" i="1"/>
  <c r="F1707" i="1"/>
  <c r="F1708" i="1"/>
  <c r="F1709" i="1"/>
  <c r="F1710" i="1"/>
  <c r="F1711" i="1"/>
  <c r="F1712" i="1"/>
  <c r="F1713" i="1"/>
  <c r="F1714" i="1"/>
  <c r="F1715" i="1"/>
  <c r="F1716" i="1"/>
  <c r="F1717" i="1"/>
  <c r="F1718" i="1"/>
  <c r="F1719" i="1"/>
  <c r="F1720" i="1"/>
  <c r="F1721" i="1"/>
  <c r="F1722" i="1"/>
  <c r="F1723" i="1"/>
  <c r="F1724" i="1"/>
  <c r="F1725" i="1"/>
  <c r="F1726" i="1"/>
  <c r="F1727" i="1"/>
  <c r="F1728" i="1"/>
  <c r="F1729" i="1"/>
  <c r="F1730" i="1"/>
  <c r="F1731" i="1"/>
  <c r="F1732" i="1"/>
  <c r="F1733" i="1"/>
  <c r="F1734" i="1"/>
  <c r="F1735" i="1"/>
  <c r="F1736" i="1"/>
  <c r="F1737" i="1"/>
  <c r="F1738" i="1"/>
  <c r="F1739" i="1"/>
  <c r="F1740" i="1"/>
  <c r="F1741" i="1"/>
  <c r="F1742" i="1"/>
  <c r="F1743" i="1"/>
  <c r="F1744" i="1"/>
  <c r="F1745" i="1"/>
  <c r="F1746" i="1"/>
  <c r="F1747" i="1"/>
  <c r="F1748" i="1"/>
  <c r="F1749" i="1"/>
  <c r="F1750" i="1"/>
  <c r="F1751" i="1"/>
  <c r="F1752" i="1"/>
  <c r="F1753" i="1"/>
  <c r="F1754" i="1"/>
  <c r="F1755" i="1"/>
  <c r="F1756" i="1"/>
  <c r="F1757" i="1"/>
  <c r="F1758" i="1"/>
  <c r="F1759" i="1"/>
  <c r="F1760" i="1"/>
  <c r="F1761" i="1"/>
  <c r="F1762" i="1"/>
  <c r="F1763" i="1"/>
  <c r="F1764" i="1"/>
  <c r="F1765" i="1"/>
  <c r="F1766" i="1"/>
  <c r="F1767" i="1"/>
  <c r="F1768" i="1"/>
  <c r="F1769" i="1"/>
  <c r="F1770" i="1"/>
  <c r="F1771" i="1"/>
  <c r="F1772" i="1"/>
  <c r="F1773" i="1"/>
  <c r="F1774" i="1"/>
  <c r="F1775" i="1"/>
  <c r="F1776" i="1"/>
  <c r="F1777" i="1"/>
  <c r="F1778" i="1"/>
  <c r="F1779" i="1"/>
  <c r="F1780" i="1"/>
  <c r="F1781" i="1"/>
  <c r="F1782" i="1"/>
  <c r="F1783" i="1"/>
  <c r="F1784" i="1"/>
  <c r="F1785" i="1"/>
  <c r="F1786" i="1"/>
  <c r="F1787" i="1"/>
  <c r="F1788" i="1"/>
  <c r="F1789" i="1"/>
  <c r="F1790" i="1"/>
  <c r="F1791" i="1"/>
  <c r="F1792" i="1"/>
  <c r="F1793" i="1"/>
  <c r="F1794" i="1"/>
  <c r="F1795" i="1"/>
  <c r="F1796" i="1"/>
  <c r="F1797" i="1"/>
  <c r="F1798" i="1"/>
  <c r="F1799" i="1"/>
  <c r="F1800" i="1"/>
  <c r="F1801" i="1"/>
  <c r="F1802" i="1"/>
  <c r="F1803" i="1"/>
  <c r="F1804" i="1"/>
  <c r="F1805" i="1"/>
  <c r="F1806" i="1"/>
  <c r="F1807" i="1"/>
  <c r="F1808" i="1"/>
  <c r="F1809" i="1"/>
  <c r="F1810" i="1"/>
  <c r="F1811" i="1"/>
  <c r="F1812" i="1"/>
  <c r="F1813" i="1"/>
  <c r="F1814" i="1"/>
  <c r="F1815" i="1"/>
  <c r="F1816" i="1"/>
  <c r="F1817" i="1"/>
  <c r="F1818" i="1"/>
  <c r="F1819" i="1"/>
  <c r="F1820" i="1"/>
  <c r="F1821" i="1"/>
  <c r="F1822" i="1"/>
  <c r="F1823" i="1"/>
  <c r="F1824" i="1"/>
  <c r="F1825" i="1"/>
  <c r="F1826" i="1"/>
  <c r="F1827" i="1"/>
  <c r="F1828" i="1"/>
  <c r="F1829" i="1"/>
  <c r="F1830" i="1"/>
  <c r="F1831" i="1"/>
  <c r="F1832" i="1"/>
  <c r="F1833" i="1"/>
  <c r="F1834" i="1"/>
  <c r="F1835" i="1"/>
  <c r="F1836" i="1"/>
  <c r="F1837" i="1"/>
  <c r="F1838" i="1"/>
  <c r="F1839" i="1"/>
  <c r="F1840" i="1"/>
  <c r="F1841" i="1"/>
  <c r="F1842" i="1"/>
  <c r="F1843" i="1"/>
  <c r="F1844" i="1"/>
  <c r="F1845" i="1"/>
  <c r="F1846" i="1"/>
  <c r="F1847" i="1"/>
  <c r="F1848" i="1"/>
  <c r="F1849" i="1"/>
  <c r="F1850" i="1"/>
  <c r="F1851" i="1"/>
  <c r="F1852" i="1"/>
  <c r="F1853" i="1"/>
  <c r="F1854" i="1"/>
  <c r="F1855" i="1"/>
  <c r="F1856" i="1"/>
  <c r="F1857" i="1"/>
  <c r="F1858" i="1"/>
  <c r="F1859" i="1"/>
  <c r="F1860" i="1"/>
  <c r="F1861" i="1"/>
  <c r="F1862" i="1"/>
  <c r="F1863" i="1"/>
  <c r="F1864" i="1"/>
  <c r="F1865" i="1"/>
  <c r="F1866" i="1"/>
  <c r="F1867" i="1"/>
  <c r="F1868" i="1"/>
  <c r="F1869" i="1"/>
  <c r="F1870" i="1"/>
  <c r="F1871" i="1"/>
  <c r="F1872" i="1"/>
  <c r="F1873" i="1"/>
  <c r="F1874" i="1"/>
  <c r="F1875" i="1"/>
  <c r="F1876" i="1"/>
  <c r="F1877" i="1"/>
  <c r="F1878" i="1"/>
  <c r="F1879" i="1"/>
  <c r="F1880" i="1"/>
  <c r="F1881" i="1"/>
  <c r="F1882" i="1"/>
  <c r="F1883" i="1"/>
  <c r="F1884" i="1"/>
  <c r="F1885" i="1"/>
  <c r="F1886" i="1"/>
  <c r="F1887" i="1"/>
  <c r="F1888" i="1"/>
  <c r="F1889" i="1"/>
  <c r="F1890" i="1"/>
  <c r="F1891" i="1"/>
  <c r="F1892" i="1"/>
  <c r="F1893" i="1"/>
  <c r="F1894" i="1"/>
  <c r="F1895" i="1"/>
  <c r="F1896" i="1"/>
  <c r="F1897" i="1"/>
  <c r="F1898" i="1"/>
  <c r="F1899" i="1"/>
  <c r="F1900" i="1"/>
  <c r="F1901" i="1"/>
  <c r="F1902" i="1"/>
  <c r="F1903" i="1"/>
  <c r="F1904" i="1"/>
  <c r="F1905" i="1"/>
  <c r="F1906" i="1"/>
  <c r="F1907" i="1"/>
  <c r="F1908" i="1"/>
  <c r="F1909" i="1"/>
  <c r="F1910" i="1"/>
  <c r="F1911" i="1"/>
  <c r="F1912" i="1"/>
  <c r="F1913" i="1"/>
  <c r="F1914" i="1"/>
  <c r="F1915" i="1"/>
  <c r="F1916" i="1"/>
  <c r="F1917" i="1"/>
  <c r="F1918" i="1"/>
  <c r="F1919" i="1"/>
  <c r="F1920" i="1"/>
  <c r="F1921" i="1"/>
  <c r="F1922" i="1"/>
  <c r="F1923" i="1"/>
  <c r="F1924" i="1"/>
  <c r="F1925" i="1"/>
  <c r="F1926" i="1"/>
  <c r="F1927" i="1"/>
  <c r="F1928" i="1"/>
  <c r="F1929" i="1"/>
  <c r="F1930" i="1"/>
  <c r="F1931" i="1"/>
  <c r="F1932" i="1"/>
  <c r="F1933" i="1"/>
  <c r="F1934" i="1"/>
  <c r="F1935" i="1"/>
  <c r="F1936" i="1"/>
  <c r="F1937" i="1"/>
  <c r="F1938" i="1"/>
  <c r="F1939" i="1"/>
  <c r="F1940" i="1"/>
  <c r="F1941" i="1"/>
  <c r="F1942" i="1"/>
  <c r="F1943" i="1"/>
  <c r="F1944" i="1"/>
  <c r="F1945" i="1"/>
  <c r="F1946" i="1"/>
  <c r="F1947" i="1"/>
  <c r="F1948" i="1"/>
  <c r="F1949" i="1"/>
  <c r="F1950" i="1"/>
  <c r="F1951" i="1"/>
  <c r="F1952" i="1"/>
  <c r="F1953" i="1"/>
  <c r="F1954" i="1"/>
  <c r="F1955" i="1"/>
  <c r="F1956" i="1"/>
  <c r="F1957" i="1"/>
  <c r="F1958" i="1"/>
  <c r="F1959" i="1"/>
  <c r="F1960" i="1"/>
  <c r="F1961" i="1"/>
  <c r="F1962" i="1"/>
  <c r="F1963" i="1"/>
  <c r="F1964" i="1"/>
  <c r="F1965" i="1"/>
  <c r="F1966" i="1"/>
  <c r="F1967" i="1"/>
  <c r="F1968" i="1"/>
  <c r="F1969" i="1"/>
  <c r="F1970" i="1"/>
  <c r="F1971" i="1"/>
  <c r="F1972" i="1"/>
  <c r="F1973" i="1"/>
  <c r="F1974" i="1"/>
  <c r="F1975" i="1"/>
  <c r="F1976" i="1"/>
  <c r="F1977" i="1"/>
  <c r="F1978" i="1"/>
  <c r="F1979" i="1"/>
  <c r="F1980" i="1"/>
  <c r="F1981" i="1"/>
  <c r="F1982" i="1"/>
  <c r="F1983" i="1"/>
  <c r="F1984" i="1"/>
  <c r="F1985" i="1"/>
  <c r="F1986" i="1"/>
  <c r="F1987" i="1"/>
  <c r="F1988" i="1"/>
  <c r="F1989" i="1"/>
  <c r="F1990" i="1"/>
  <c r="F1991" i="1"/>
  <c r="F1992" i="1"/>
  <c r="F1993" i="1"/>
  <c r="F1994" i="1"/>
  <c r="F1995" i="1"/>
  <c r="F1996" i="1"/>
  <c r="F1997" i="1"/>
  <c r="F1998" i="1"/>
  <c r="F1999" i="1"/>
  <c r="F2000" i="1"/>
  <c r="E13" i="1"/>
  <c r="E14" i="1"/>
  <c r="E15" i="1"/>
  <c r="E16" i="1"/>
  <c r="E7" i="1"/>
  <c r="E3" i="1"/>
  <c r="E4" i="1"/>
  <c r="E5" i="1"/>
  <c r="E2" i="1"/>
  <c r="E9" i="1"/>
  <c r="E10" i="1"/>
  <c r="E8" i="1"/>
  <c r="E6" i="1"/>
  <c r="E11" i="1"/>
  <c r="E17" i="1"/>
  <c r="E18" i="1"/>
  <c r="E19" i="1"/>
  <c r="E20" i="1"/>
  <c r="E21" i="1"/>
  <c r="E22" i="1"/>
  <c r="E23" i="1"/>
  <c r="E24" i="1"/>
  <c r="E25" i="1"/>
  <c r="E26" i="1"/>
  <c r="E27" i="1"/>
  <c r="E28" i="1"/>
  <c r="E29" i="1"/>
  <c r="E30" i="1"/>
  <c r="E31" i="1"/>
  <c r="E32" i="1"/>
  <c r="E33" i="1"/>
  <c r="E34" i="1"/>
  <c r="E35" i="1"/>
  <c r="E36" i="1"/>
  <c r="E37" i="1"/>
  <c r="E38" i="1"/>
  <c r="E39" i="1"/>
  <c r="E40" i="1"/>
  <c r="E41" i="1"/>
  <c r="E42" i="1"/>
  <c r="E43" i="1"/>
  <c r="E44" i="1"/>
  <c r="E45" i="1"/>
  <c r="E46" i="1"/>
  <c r="E47" i="1"/>
  <c r="E48" i="1"/>
  <c r="E49" i="1"/>
  <c r="E50" i="1"/>
  <c r="E51" i="1"/>
  <c r="E52" i="1"/>
  <c r="E53" i="1"/>
  <c r="E54" i="1"/>
  <c r="E55" i="1"/>
  <c r="E56" i="1"/>
  <c r="E57" i="1"/>
  <c r="E58" i="1"/>
  <c r="E59" i="1"/>
  <c r="E60" i="1"/>
  <c r="E61" i="1"/>
  <c r="E62" i="1"/>
  <c r="E63" i="1"/>
  <c r="E64" i="1"/>
  <c r="E65" i="1"/>
  <c r="E66" i="1"/>
  <c r="E67" i="1"/>
  <c r="E68" i="1"/>
  <c r="E69" i="1"/>
  <c r="E70" i="1"/>
  <c r="E71" i="1"/>
  <c r="E72" i="1"/>
  <c r="E73" i="1"/>
  <c r="E74" i="1"/>
  <c r="E75" i="1"/>
  <c r="E76" i="1"/>
  <c r="E77" i="1"/>
  <c r="E78" i="1"/>
  <c r="E79" i="1"/>
  <c r="E80" i="1"/>
  <c r="E81" i="1"/>
  <c r="E82" i="1"/>
  <c r="E83" i="1"/>
  <c r="E84" i="1"/>
  <c r="E85" i="1"/>
  <c r="E86" i="1"/>
  <c r="E87" i="1"/>
  <c r="E88" i="1"/>
  <c r="E89" i="1"/>
  <c r="E90" i="1"/>
  <c r="E91" i="1"/>
  <c r="E92" i="1"/>
  <c r="E93" i="1"/>
  <c r="E94" i="1"/>
  <c r="E95" i="1"/>
  <c r="E96" i="1"/>
  <c r="E97" i="1"/>
  <c r="E98" i="1"/>
  <c r="E99" i="1"/>
  <c r="E100" i="1"/>
  <c r="E101" i="1"/>
  <c r="E102" i="1"/>
  <c r="E103" i="1"/>
  <c r="E104" i="1"/>
  <c r="E105" i="1"/>
  <c r="E106" i="1"/>
  <c r="E107" i="1"/>
  <c r="E108" i="1"/>
  <c r="E109" i="1"/>
  <c r="E110" i="1"/>
  <c r="E111" i="1"/>
  <c r="E112" i="1"/>
  <c r="E113" i="1"/>
  <c r="E114" i="1"/>
  <c r="E115" i="1"/>
  <c r="E116" i="1"/>
  <c r="E117" i="1"/>
  <c r="E118" i="1"/>
  <c r="E119" i="1"/>
  <c r="E120" i="1"/>
  <c r="E121" i="1"/>
  <c r="E122" i="1"/>
  <c r="E123" i="1"/>
  <c r="E124" i="1"/>
  <c r="E125" i="1"/>
  <c r="E126" i="1"/>
  <c r="E127" i="1"/>
  <c r="E128" i="1"/>
  <c r="E129" i="1"/>
  <c r="E130" i="1"/>
  <c r="E131" i="1"/>
  <c r="E132" i="1"/>
  <c r="E133" i="1"/>
  <c r="E134" i="1"/>
  <c r="E135" i="1"/>
  <c r="E136" i="1"/>
  <c r="E137" i="1"/>
  <c r="E138" i="1"/>
  <c r="E139" i="1"/>
  <c r="E140" i="1"/>
  <c r="E141" i="1"/>
  <c r="E142" i="1"/>
  <c r="E143" i="1"/>
  <c r="E144" i="1"/>
  <c r="E145" i="1"/>
  <c r="E146" i="1"/>
  <c r="E147" i="1"/>
  <c r="E148" i="1"/>
  <c r="E149" i="1"/>
  <c r="E150" i="1"/>
  <c r="E151" i="1"/>
  <c r="E152" i="1"/>
  <c r="E153" i="1"/>
  <c r="E154" i="1"/>
  <c r="E155" i="1"/>
  <c r="E156" i="1"/>
  <c r="E157" i="1"/>
  <c r="E158" i="1"/>
  <c r="E159" i="1"/>
  <c r="E160" i="1"/>
  <c r="E161" i="1"/>
  <c r="E162" i="1"/>
  <c r="E163" i="1"/>
  <c r="E164" i="1"/>
  <c r="E165" i="1"/>
  <c r="E166" i="1"/>
  <c r="E167" i="1"/>
  <c r="E168" i="1"/>
  <c r="E169" i="1"/>
  <c r="E170" i="1"/>
  <c r="E171" i="1"/>
  <c r="E172" i="1"/>
  <c r="E173" i="1"/>
  <c r="E174" i="1"/>
  <c r="E175" i="1"/>
  <c r="E176" i="1"/>
  <c r="E177" i="1"/>
  <c r="E178" i="1"/>
  <c r="E179" i="1"/>
  <c r="E180" i="1"/>
  <c r="E181" i="1"/>
  <c r="E182" i="1"/>
  <c r="E183" i="1"/>
  <c r="E184" i="1"/>
  <c r="E185" i="1"/>
  <c r="E186" i="1"/>
  <c r="E187" i="1"/>
  <c r="E188" i="1"/>
  <c r="E189" i="1"/>
  <c r="E190" i="1"/>
  <c r="E191" i="1"/>
  <c r="E192" i="1"/>
  <c r="E193" i="1"/>
  <c r="E194" i="1"/>
  <c r="E195" i="1"/>
  <c r="E196" i="1"/>
  <c r="E197" i="1"/>
  <c r="E198" i="1"/>
  <c r="E199" i="1"/>
  <c r="E200" i="1"/>
  <c r="E201" i="1"/>
  <c r="E202" i="1"/>
  <c r="E203" i="1"/>
  <c r="E204" i="1"/>
  <c r="E205" i="1"/>
  <c r="E206" i="1"/>
  <c r="E207" i="1"/>
  <c r="E208" i="1"/>
  <c r="E209" i="1"/>
  <c r="E210" i="1"/>
  <c r="E211" i="1"/>
  <c r="E212" i="1"/>
  <c r="E213" i="1"/>
  <c r="E214" i="1"/>
  <c r="E215" i="1"/>
  <c r="E216" i="1"/>
  <c r="E217" i="1"/>
  <c r="E218" i="1"/>
  <c r="E219" i="1"/>
  <c r="E220" i="1"/>
  <c r="E221" i="1"/>
  <c r="E222" i="1"/>
  <c r="E223" i="1"/>
  <c r="E224" i="1"/>
  <c r="E225" i="1"/>
  <c r="E226" i="1"/>
  <c r="E227" i="1"/>
  <c r="E228" i="1"/>
  <c r="E229" i="1"/>
  <c r="E230" i="1"/>
  <c r="E231" i="1"/>
  <c r="E232" i="1"/>
  <c r="E233" i="1"/>
  <c r="E234" i="1"/>
  <c r="E235" i="1"/>
  <c r="E236" i="1"/>
  <c r="E237" i="1"/>
  <c r="E238" i="1"/>
  <c r="E239" i="1"/>
  <c r="E240" i="1"/>
  <c r="E241" i="1"/>
  <c r="E242" i="1"/>
  <c r="E243" i="1"/>
  <c r="E244" i="1"/>
  <c r="E245" i="1"/>
  <c r="E246" i="1"/>
  <c r="E247" i="1"/>
  <c r="E248" i="1"/>
  <c r="E249" i="1"/>
  <c r="E250" i="1"/>
  <c r="E251" i="1"/>
  <c r="E252" i="1"/>
  <c r="E253" i="1"/>
  <c r="E254" i="1"/>
  <c r="E255" i="1"/>
  <c r="E256" i="1"/>
  <c r="E257" i="1"/>
  <c r="E258" i="1"/>
  <c r="E259" i="1"/>
  <c r="E260" i="1"/>
  <c r="E261" i="1"/>
  <c r="E262" i="1"/>
  <c r="E263" i="1"/>
  <c r="E264" i="1"/>
  <c r="E265" i="1"/>
  <c r="E266" i="1"/>
  <c r="E267" i="1"/>
  <c r="E268" i="1"/>
  <c r="E269" i="1"/>
  <c r="E270" i="1"/>
  <c r="E271" i="1"/>
  <c r="E272" i="1"/>
  <c r="E273" i="1"/>
  <c r="E274" i="1"/>
  <c r="E275" i="1"/>
  <c r="E276" i="1"/>
  <c r="E277" i="1"/>
  <c r="E278" i="1"/>
  <c r="E279" i="1"/>
  <c r="E280" i="1"/>
  <c r="E281" i="1"/>
  <c r="E282" i="1"/>
  <c r="E283" i="1"/>
  <c r="E284" i="1"/>
  <c r="E285" i="1"/>
  <c r="E286" i="1"/>
  <c r="E287" i="1"/>
  <c r="E288" i="1"/>
  <c r="E289" i="1"/>
  <c r="E290" i="1"/>
  <c r="E291" i="1"/>
  <c r="E292" i="1"/>
  <c r="E293" i="1"/>
  <c r="E294" i="1"/>
  <c r="E295" i="1"/>
  <c r="E296" i="1"/>
  <c r="E297" i="1"/>
  <c r="E298" i="1"/>
  <c r="E299" i="1"/>
  <c r="E300" i="1"/>
  <c r="E301" i="1"/>
  <c r="E302" i="1"/>
  <c r="E303" i="1"/>
  <c r="E304" i="1"/>
  <c r="E305" i="1"/>
  <c r="E306" i="1"/>
  <c r="E307" i="1"/>
  <c r="E308" i="1"/>
  <c r="E309" i="1"/>
  <c r="E310" i="1"/>
  <c r="E311" i="1"/>
  <c r="E312" i="1"/>
  <c r="E313" i="1"/>
  <c r="E314" i="1"/>
  <c r="E315" i="1"/>
  <c r="E316" i="1"/>
  <c r="E317" i="1"/>
  <c r="E318" i="1"/>
  <c r="E319" i="1"/>
  <c r="E320" i="1"/>
  <c r="E321" i="1"/>
  <c r="E322" i="1"/>
  <c r="E323" i="1"/>
  <c r="E324" i="1"/>
  <c r="E325" i="1"/>
  <c r="E326" i="1"/>
  <c r="E327" i="1"/>
  <c r="E328" i="1"/>
  <c r="E329" i="1"/>
  <c r="E330" i="1"/>
  <c r="E331" i="1"/>
  <c r="E332" i="1"/>
  <c r="E333" i="1"/>
  <c r="E334" i="1"/>
  <c r="E335" i="1"/>
  <c r="E336" i="1"/>
  <c r="E337" i="1"/>
  <c r="E338" i="1"/>
  <c r="E339" i="1"/>
  <c r="E340" i="1"/>
  <c r="E341" i="1"/>
  <c r="E342" i="1"/>
  <c r="E343" i="1"/>
  <c r="E344" i="1"/>
  <c r="E345" i="1"/>
  <c r="E346" i="1"/>
  <c r="E347" i="1"/>
  <c r="E348" i="1"/>
  <c r="E349" i="1"/>
  <c r="E350" i="1"/>
  <c r="E351" i="1"/>
  <c r="E352" i="1"/>
  <c r="E353" i="1"/>
  <c r="E354" i="1"/>
  <c r="E355" i="1"/>
  <c r="E356" i="1"/>
  <c r="E357" i="1"/>
  <c r="E358" i="1"/>
  <c r="E359" i="1"/>
  <c r="E360" i="1"/>
  <c r="E361" i="1"/>
  <c r="E362" i="1"/>
  <c r="E363" i="1"/>
  <c r="E364" i="1"/>
  <c r="E365" i="1"/>
  <c r="E366" i="1"/>
  <c r="E367" i="1"/>
  <c r="E368" i="1"/>
  <c r="E369" i="1"/>
  <c r="E370" i="1"/>
  <c r="E371" i="1"/>
  <c r="E372" i="1"/>
  <c r="E373" i="1"/>
  <c r="E374" i="1"/>
  <c r="E375" i="1"/>
  <c r="E376" i="1"/>
  <c r="E377" i="1"/>
  <c r="E378" i="1"/>
  <c r="E379" i="1"/>
  <c r="E380" i="1"/>
  <c r="E381" i="1"/>
  <c r="E382" i="1"/>
  <c r="E383" i="1"/>
  <c r="E384" i="1"/>
  <c r="E385" i="1"/>
  <c r="E386" i="1"/>
  <c r="E387" i="1"/>
  <c r="E388" i="1"/>
  <c r="E389" i="1"/>
  <c r="E390" i="1"/>
  <c r="E391" i="1"/>
  <c r="E392" i="1"/>
  <c r="E393" i="1"/>
  <c r="E394" i="1"/>
  <c r="E395" i="1"/>
  <c r="E396" i="1"/>
  <c r="E397" i="1"/>
  <c r="E398" i="1"/>
  <c r="E399" i="1"/>
  <c r="E400" i="1"/>
  <c r="E401" i="1"/>
  <c r="E402" i="1"/>
  <c r="E403" i="1"/>
  <c r="E404" i="1"/>
  <c r="E405" i="1"/>
  <c r="E406" i="1"/>
  <c r="E407" i="1"/>
  <c r="E408" i="1"/>
  <c r="E409" i="1"/>
  <c r="E410" i="1"/>
  <c r="E411" i="1"/>
  <c r="E412" i="1"/>
  <c r="E413" i="1"/>
  <c r="E414" i="1"/>
  <c r="E415" i="1"/>
  <c r="E416" i="1"/>
  <c r="E417" i="1"/>
  <c r="E418" i="1"/>
  <c r="E419" i="1"/>
  <c r="E420" i="1"/>
  <c r="E421" i="1"/>
  <c r="E422" i="1"/>
  <c r="E423" i="1"/>
  <c r="E424" i="1"/>
  <c r="E425" i="1"/>
  <c r="E426" i="1"/>
  <c r="E427" i="1"/>
  <c r="E428" i="1"/>
  <c r="E429" i="1"/>
  <c r="E430" i="1"/>
  <c r="E431" i="1"/>
  <c r="E432" i="1"/>
  <c r="E433" i="1"/>
  <c r="E434" i="1"/>
  <c r="E435" i="1"/>
  <c r="E436" i="1"/>
  <c r="E437" i="1"/>
  <c r="E438" i="1"/>
  <c r="E439" i="1"/>
  <c r="E440" i="1"/>
  <c r="E441" i="1"/>
  <c r="E442" i="1"/>
  <c r="E443" i="1"/>
  <c r="E444" i="1"/>
  <c r="E445" i="1"/>
  <c r="E446" i="1"/>
  <c r="E447" i="1"/>
  <c r="E448" i="1"/>
  <c r="E449" i="1"/>
  <c r="E450" i="1"/>
  <c r="E451" i="1"/>
  <c r="E452" i="1"/>
  <c r="E453" i="1"/>
  <c r="E454" i="1"/>
  <c r="E455" i="1"/>
  <c r="E456" i="1"/>
  <c r="E457" i="1"/>
  <c r="E458" i="1"/>
  <c r="E459" i="1"/>
  <c r="E460" i="1"/>
  <c r="E461" i="1"/>
  <c r="E462" i="1"/>
  <c r="E463" i="1"/>
  <c r="E464" i="1"/>
  <c r="E465" i="1"/>
  <c r="E466" i="1"/>
  <c r="E467" i="1"/>
  <c r="E468" i="1"/>
  <c r="E469" i="1"/>
  <c r="E470" i="1"/>
  <c r="E471" i="1"/>
  <c r="E472" i="1"/>
  <c r="E473" i="1"/>
  <c r="E474" i="1"/>
  <c r="E475" i="1"/>
  <c r="E476" i="1"/>
  <c r="E477" i="1"/>
  <c r="E478" i="1"/>
  <c r="E479" i="1"/>
  <c r="E480" i="1"/>
  <c r="E481" i="1"/>
  <c r="E482" i="1"/>
  <c r="E483" i="1"/>
  <c r="E484" i="1"/>
  <c r="E485" i="1"/>
  <c r="E486" i="1"/>
  <c r="E487" i="1"/>
  <c r="E488" i="1"/>
  <c r="E489" i="1"/>
  <c r="E490" i="1"/>
  <c r="E491" i="1"/>
  <c r="E492" i="1"/>
  <c r="E493" i="1"/>
  <c r="E494" i="1"/>
  <c r="E495" i="1"/>
  <c r="E496" i="1"/>
  <c r="E497" i="1"/>
  <c r="E498" i="1"/>
  <c r="E499" i="1"/>
  <c r="E500" i="1"/>
  <c r="E501" i="1"/>
  <c r="E502" i="1"/>
  <c r="E503" i="1"/>
  <c r="E504" i="1"/>
  <c r="E505" i="1"/>
  <c r="E506" i="1"/>
  <c r="E507" i="1"/>
  <c r="E508" i="1"/>
  <c r="E509" i="1"/>
  <c r="E510" i="1"/>
  <c r="E511" i="1"/>
  <c r="E512" i="1"/>
  <c r="E513" i="1"/>
  <c r="E514" i="1"/>
  <c r="E515" i="1"/>
  <c r="E516" i="1"/>
  <c r="E517" i="1"/>
  <c r="E518" i="1"/>
  <c r="E519" i="1"/>
  <c r="E520" i="1"/>
  <c r="E521" i="1"/>
  <c r="E522" i="1"/>
  <c r="E523" i="1"/>
  <c r="E524" i="1"/>
  <c r="E525" i="1"/>
  <c r="E526" i="1"/>
  <c r="E527" i="1"/>
  <c r="E528" i="1"/>
  <c r="E529" i="1"/>
  <c r="E530" i="1"/>
  <c r="E531" i="1"/>
  <c r="E532" i="1"/>
  <c r="E533" i="1"/>
  <c r="E534" i="1"/>
  <c r="E535" i="1"/>
  <c r="E536" i="1"/>
  <c r="E537" i="1"/>
  <c r="E538" i="1"/>
  <c r="E539" i="1"/>
  <c r="E540" i="1"/>
  <c r="E541" i="1"/>
  <c r="E542" i="1"/>
  <c r="E543" i="1"/>
  <c r="E544" i="1"/>
  <c r="E545" i="1"/>
  <c r="E546" i="1"/>
  <c r="E547" i="1"/>
  <c r="E548" i="1"/>
  <c r="E549" i="1"/>
  <c r="E550" i="1"/>
  <c r="E551" i="1"/>
  <c r="E552" i="1"/>
  <c r="E553" i="1"/>
  <c r="E554" i="1"/>
  <c r="E555" i="1"/>
  <c r="E556" i="1"/>
  <c r="E557" i="1"/>
  <c r="E558" i="1"/>
  <c r="E559" i="1"/>
  <c r="E560" i="1"/>
  <c r="E561" i="1"/>
  <c r="E562" i="1"/>
  <c r="E563" i="1"/>
  <c r="E564" i="1"/>
  <c r="E565" i="1"/>
  <c r="E566" i="1"/>
  <c r="E567" i="1"/>
  <c r="E568" i="1"/>
  <c r="E569" i="1"/>
  <c r="E570" i="1"/>
  <c r="E571" i="1"/>
  <c r="E572" i="1"/>
  <c r="E573" i="1"/>
  <c r="E574" i="1"/>
  <c r="E575" i="1"/>
  <c r="E576" i="1"/>
  <c r="E577" i="1"/>
  <c r="E578" i="1"/>
  <c r="E579" i="1"/>
  <c r="E580" i="1"/>
  <c r="E581" i="1"/>
  <c r="E582" i="1"/>
  <c r="E583" i="1"/>
  <c r="E584" i="1"/>
  <c r="E585" i="1"/>
  <c r="E586" i="1"/>
  <c r="E587" i="1"/>
  <c r="E588" i="1"/>
  <c r="E589" i="1"/>
  <c r="E590" i="1"/>
  <c r="E591" i="1"/>
  <c r="E592" i="1"/>
  <c r="E593" i="1"/>
  <c r="E594" i="1"/>
  <c r="E595" i="1"/>
  <c r="E596" i="1"/>
  <c r="E597" i="1"/>
  <c r="E598" i="1"/>
  <c r="E599" i="1"/>
  <c r="E600" i="1"/>
  <c r="E601" i="1"/>
  <c r="E602" i="1"/>
  <c r="E603" i="1"/>
  <c r="E604" i="1"/>
  <c r="E605" i="1"/>
  <c r="E606" i="1"/>
  <c r="E607" i="1"/>
  <c r="E608" i="1"/>
  <c r="E609" i="1"/>
  <c r="E610" i="1"/>
  <c r="E611" i="1"/>
  <c r="E612" i="1"/>
  <c r="E613" i="1"/>
  <c r="E614" i="1"/>
  <c r="E615" i="1"/>
  <c r="E616" i="1"/>
  <c r="E617" i="1"/>
  <c r="E618" i="1"/>
  <c r="E619" i="1"/>
  <c r="E620" i="1"/>
  <c r="E621" i="1"/>
  <c r="E622" i="1"/>
  <c r="E623" i="1"/>
  <c r="E624" i="1"/>
  <c r="E625" i="1"/>
  <c r="E626" i="1"/>
  <c r="E627" i="1"/>
  <c r="E628" i="1"/>
  <c r="E629" i="1"/>
  <c r="E630" i="1"/>
  <c r="E631" i="1"/>
  <c r="E632" i="1"/>
  <c r="E633" i="1"/>
  <c r="E634" i="1"/>
  <c r="E635" i="1"/>
  <c r="E636" i="1"/>
  <c r="E637" i="1"/>
  <c r="E638" i="1"/>
  <c r="E639" i="1"/>
  <c r="E640" i="1"/>
  <c r="E641" i="1"/>
  <c r="E642" i="1"/>
  <c r="E643" i="1"/>
  <c r="E644" i="1"/>
  <c r="E645" i="1"/>
  <c r="E646" i="1"/>
  <c r="E647" i="1"/>
  <c r="E648" i="1"/>
  <c r="E649" i="1"/>
  <c r="E650" i="1"/>
  <c r="E651" i="1"/>
  <c r="E652" i="1"/>
  <c r="E653" i="1"/>
  <c r="E654" i="1"/>
  <c r="E655" i="1"/>
  <c r="E656" i="1"/>
  <c r="E657" i="1"/>
  <c r="E658" i="1"/>
  <c r="E659" i="1"/>
  <c r="E660" i="1"/>
  <c r="E661" i="1"/>
  <c r="E662" i="1"/>
  <c r="E663" i="1"/>
  <c r="E664" i="1"/>
  <c r="E665" i="1"/>
  <c r="E666" i="1"/>
  <c r="E667" i="1"/>
  <c r="E668" i="1"/>
  <c r="E669" i="1"/>
  <c r="E670" i="1"/>
  <c r="E671" i="1"/>
  <c r="E672" i="1"/>
  <c r="E673" i="1"/>
  <c r="E674" i="1"/>
  <c r="E675" i="1"/>
  <c r="E676" i="1"/>
  <c r="E677" i="1"/>
  <c r="E678" i="1"/>
  <c r="E679" i="1"/>
  <c r="E680" i="1"/>
  <c r="E681" i="1"/>
  <c r="E682" i="1"/>
  <c r="E683" i="1"/>
  <c r="E684" i="1"/>
  <c r="E685" i="1"/>
  <c r="E686" i="1"/>
  <c r="E687" i="1"/>
  <c r="E688" i="1"/>
  <c r="E689" i="1"/>
  <c r="E690" i="1"/>
  <c r="E691" i="1"/>
  <c r="E692" i="1"/>
  <c r="E693" i="1"/>
  <c r="E694" i="1"/>
  <c r="E695" i="1"/>
  <c r="E696" i="1"/>
  <c r="E697" i="1"/>
  <c r="E698" i="1"/>
  <c r="E699" i="1"/>
  <c r="E700" i="1"/>
  <c r="E701" i="1"/>
  <c r="E702" i="1"/>
  <c r="E703" i="1"/>
  <c r="E704" i="1"/>
  <c r="E705" i="1"/>
  <c r="E706" i="1"/>
  <c r="E707" i="1"/>
  <c r="E708" i="1"/>
  <c r="E709" i="1"/>
  <c r="E710" i="1"/>
  <c r="E711" i="1"/>
  <c r="E712" i="1"/>
  <c r="E713" i="1"/>
  <c r="E714" i="1"/>
  <c r="E715" i="1"/>
  <c r="E716" i="1"/>
  <c r="E717" i="1"/>
  <c r="E718" i="1"/>
  <c r="E719" i="1"/>
  <c r="E720" i="1"/>
  <c r="E721" i="1"/>
  <c r="E722" i="1"/>
  <c r="E723" i="1"/>
  <c r="E724" i="1"/>
  <c r="E725" i="1"/>
  <c r="E726" i="1"/>
  <c r="E727" i="1"/>
  <c r="E728" i="1"/>
  <c r="E729" i="1"/>
  <c r="E730" i="1"/>
  <c r="E731" i="1"/>
  <c r="E732" i="1"/>
  <c r="E733" i="1"/>
  <c r="E734" i="1"/>
  <c r="E735" i="1"/>
  <c r="E736" i="1"/>
  <c r="E737" i="1"/>
  <c r="E738" i="1"/>
  <c r="E739" i="1"/>
  <c r="E740" i="1"/>
  <c r="E741" i="1"/>
  <c r="E742" i="1"/>
  <c r="E743" i="1"/>
  <c r="E744" i="1"/>
  <c r="E745" i="1"/>
  <c r="E746" i="1"/>
  <c r="E747" i="1"/>
  <c r="E748" i="1"/>
  <c r="E749" i="1"/>
  <c r="E750" i="1"/>
  <c r="E751" i="1"/>
  <c r="E752" i="1"/>
  <c r="E753" i="1"/>
  <c r="E754" i="1"/>
  <c r="E755" i="1"/>
  <c r="E756" i="1"/>
  <c r="E757" i="1"/>
  <c r="E758" i="1"/>
  <c r="E759" i="1"/>
  <c r="E760" i="1"/>
  <c r="E761" i="1"/>
  <c r="E762" i="1"/>
  <c r="E763" i="1"/>
  <c r="E764" i="1"/>
  <c r="E765" i="1"/>
  <c r="E766" i="1"/>
  <c r="E767" i="1"/>
  <c r="E768" i="1"/>
  <c r="E769" i="1"/>
  <c r="E770" i="1"/>
  <c r="E771" i="1"/>
  <c r="E772" i="1"/>
  <c r="E773" i="1"/>
  <c r="E774" i="1"/>
  <c r="E775" i="1"/>
  <c r="E776" i="1"/>
  <c r="E777" i="1"/>
  <c r="E778" i="1"/>
  <c r="E779" i="1"/>
  <c r="E780" i="1"/>
  <c r="E781" i="1"/>
  <c r="E782" i="1"/>
  <c r="E783" i="1"/>
  <c r="E784" i="1"/>
  <c r="E785" i="1"/>
  <c r="E786" i="1"/>
  <c r="E787" i="1"/>
  <c r="E788" i="1"/>
  <c r="E789" i="1"/>
  <c r="E790" i="1"/>
  <c r="E791" i="1"/>
  <c r="E792" i="1"/>
  <c r="E793" i="1"/>
  <c r="E794" i="1"/>
  <c r="E795" i="1"/>
  <c r="E796" i="1"/>
  <c r="E797" i="1"/>
  <c r="E798" i="1"/>
  <c r="E799" i="1"/>
  <c r="E800" i="1"/>
  <c r="E801" i="1"/>
  <c r="E802" i="1"/>
  <c r="E803" i="1"/>
  <c r="E804" i="1"/>
  <c r="E805" i="1"/>
  <c r="E806" i="1"/>
  <c r="E807" i="1"/>
  <c r="E808" i="1"/>
  <c r="E809" i="1"/>
  <c r="E810" i="1"/>
  <c r="E811" i="1"/>
  <c r="E812" i="1"/>
  <c r="E813" i="1"/>
  <c r="E814" i="1"/>
  <c r="E815" i="1"/>
  <c r="E816" i="1"/>
  <c r="E817" i="1"/>
  <c r="E818" i="1"/>
  <c r="E819" i="1"/>
  <c r="E820" i="1"/>
  <c r="E821" i="1"/>
  <c r="E822" i="1"/>
  <c r="E823" i="1"/>
  <c r="E824" i="1"/>
  <c r="E825" i="1"/>
  <c r="E826" i="1"/>
  <c r="E827" i="1"/>
  <c r="E828" i="1"/>
  <c r="E829" i="1"/>
  <c r="E830" i="1"/>
  <c r="E831" i="1"/>
  <c r="E832" i="1"/>
  <c r="E833" i="1"/>
  <c r="E834" i="1"/>
  <c r="E835" i="1"/>
  <c r="E836" i="1"/>
  <c r="E837" i="1"/>
  <c r="E838" i="1"/>
  <c r="E839" i="1"/>
  <c r="E840" i="1"/>
  <c r="E841" i="1"/>
  <c r="E842" i="1"/>
  <c r="E843" i="1"/>
  <c r="E844" i="1"/>
  <c r="E845" i="1"/>
  <c r="E846" i="1"/>
  <c r="E847" i="1"/>
  <c r="E848" i="1"/>
  <c r="E849" i="1"/>
  <c r="E850" i="1"/>
  <c r="E851" i="1"/>
  <c r="E852" i="1"/>
  <c r="E853" i="1"/>
  <c r="E854" i="1"/>
  <c r="E855" i="1"/>
  <c r="E856" i="1"/>
  <c r="E857" i="1"/>
  <c r="E858" i="1"/>
  <c r="E859" i="1"/>
  <c r="E860" i="1"/>
  <c r="E861" i="1"/>
  <c r="E862" i="1"/>
  <c r="E863" i="1"/>
  <c r="E864" i="1"/>
  <c r="E865" i="1"/>
  <c r="E866" i="1"/>
  <c r="E867" i="1"/>
  <c r="E868" i="1"/>
  <c r="E869" i="1"/>
  <c r="E870" i="1"/>
  <c r="E871" i="1"/>
  <c r="E872" i="1"/>
  <c r="E873" i="1"/>
  <c r="E874" i="1"/>
  <c r="E875" i="1"/>
  <c r="E876" i="1"/>
  <c r="E877" i="1"/>
  <c r="E878" i="1"/>
  <c r="E879" i="1"/>
  <c r="E880" i="1"/>
  <c r="E881" i="1"/>
  <c r="E882" i="1"/>
  <c r="E883" i="1"/>
  <c r="E884" i="1"/>
  <c r="E885" i="1"/>
  <c r="E886" i="1"/>
  <c r="E887" i="1"/>
  <c r="E888" i="1"/>
  <c r="E889" i="1"/>
  <c r="E890" i="1"/>
  <c r="E891" i="1"/>
  <c r="E892" i="1"/>
  <c r="E893" i="1"/>
  <c r="E894" i="1"/>
  <c r="E895" i="1"/>
  <c r="E896" i="1"/>
  <c r="E897" i="1"/>
  <c r="E898" i="1"/>
  <c r="E899" i="1"/>
  <c r="E900" i="1"/>
  <c r="E901" i="1"/>
  <c r="E902" i="1"/>
  <c r="E903" i="1"/>
  <c r="E904" i="1"/>
  <c r="E905" i="1"/>
  <c r="E906" i="1"/>
  <c r="E907" i="1"/>
  <c r="E908" i="1"/>
  <c r="E909" i="1"/>
  <c r="E910" i="1"/>
  <c r="E911" i="1"/>
  <c r="E912" i="1"/>
  <c r="E913" i="1"/>
  <c r="E914" i="1"/>
  <c r="E915" i="1"/>
  <c r="E916" i="1"/>
  <c r="E917" i="1"/>
  <c r="E918" i="1"/>
  <c r="E919" i="1"/>
  <c r="E920" i="1"/>
  <c r="E921" i="1"/>
  <c r="E922" i="1"/>
  <c r="E923" i="1"/>
  <c r="E924" i="1"/>
  <c r="E925" i="1"/>
  <c r="E926" i="1"/>
  <c r="E927" i="1"/>
  <c r="E928" i="1"/>
  <c r="E929" i="1"/>
  <c r="E930" i="1"/>
  <c r="E931" i="1"/>
  <c r="E932" i="1"/>
  <c r="E933" i="1"/>
  <c r="E934" i="1"/>
  <c r="E935" i="1"/>
  <c r="E936" i="1"/>
  <c r="E937" i="1"/>
  <c r="E938" i="1"/>
  <c r="E939" i="1"/>
  <c r="E940" i="1"/>
  <c r="E941" i="1"/>
  <c r="E942" i="1"/>
  <c r="E943" i="1"/>
  <c r="E944" i="1"/>
  <c r="E945" i="1"/>
  <c r="E946" i="1"/>
  <c r="E947" i="1"/>
  <c r="E948" i="1"/>
  <c r="E949" i="1"/>
  <c r="E950" i="1"/>
  <c r="E951" i="1"/>
  <c r="E952" i="1"/>
  <c r="E953" i="1"/>
  <c r="E954" i="1"/>
  <c r="E955" i="1"/>
  <c r="E956" i="1"/>
  <c r="E957" i="1"/>
  <c r="E958" i="1"/>
  <c r="E959" i="1"/>
  <c r="E960" i="1"/>
  <c r="E961" i="1"/>
  <c r="E962" i="1"/>
  <c r="E963" i="1"/>
  <c r="E964" i="1"/>
  <c r="E965" i="1"/>
  <c r="E966" i="1"/>
  <c r="E967" i="1"/>
  <c r="E968" i="1"/>
  <c r="E969" i="1"/>
  <c r="E970" i="1"/>
  <c r="E971" i="1"/>
  <c r="E972" i="1"/>
  <c r="E973" i="1"/>
  <c r="E974" i="1"/>
  <c r="E975" i="1"/>
  <c r="E976" i="1"/>
  <c r="E977" i="1"/>
  <c r="E978" i="1"/>
  <c r="E979" i="1"/>
  <c r="E980" i="1"/>
  <c r="E981" i="1"/>
  <c r="E982" i="1"/>
  <c r="E983" i="1"/>
  <c r="E984" i="1"/>
  <c r="E985" i="1"/>
  <c r="E986" i="1"/>
  <c r="E987" i="1"/>
  <c r="E988" i="1"/>
  <c r="E989" i="1"/>
  <c r="E990" i="1"/>
  <c r="E991" i="1"/>
  <c r="E992" i="1"/>
  <c r="E993" i="1"/>
  <c r="E994" i="1"/>
  <c r="E995" i="1"/>
  <c r="E996" i="1"/>
  <c r="E997" i="1"/>
  <c r="E998" i="1"/>
  <c r="E999" i="1"/>
  <c r="E1000" i="1"/>
  <c r="E1001" i="1"/>
  <c r="E1002" i="1"/>
  <c r="E1003" i="1"/>
  <c r="E1004" i="1"/>
  <c r="E1005" i="1"/>
  <c r="E1006" i="1"/>
  <c r="E1007" i="1"/>
  <c r="E1008" i="1"/>
  <c r="E1009" i="1"/>
  <c r="E1010" i="1"/>
  <c r="E1011" i="1"/>
  <c r="E1012" i="1"/>
  <c r="E1013" i="1"/>
  <c r="E1014" i="1"/>
  <c r="E1015" i="1"/>
  <c r="E1016" i="1"/>
  <c r="E1017" i="1"/>
  <c r="E1018" i="1"/>
  <c r="E1019" i="1"/>
  <c r="E1020" i="1"/>
  <c r="E1021" i="1"/>
  <c r="E1022" i="1"/>
  <c r="E1023" i="1"/>
  <c r="E1024" i="1"/>
  <c r="E1025" i="1"/>
  <c r="E1026" i="1"/>
  <c r="E1027" i="1"/>
  <c r="E1028" i="1"/>
  <c r="E1029" i="1"/>
  <c r="E1030" i="1"/>
  <c r="E1031" i="1"/>
  <c r="E1032" i="1"/>
  <c r="E1033" i="1"/>
  <c r="E1034" i="1"/>
  <c r="E1035" i="1"/>
  <c r="E1036" i="1"/>
  <c r="E1037" i="1"/>
  <c r="E1038" i="1"/>
  <c r="E1039" i="1"/>
  <c r="E1040" i="1"/>
  <c r="E1041" i="1"/>
  <c r="E1042" i="1"/>
  <c r="E1043" i="1"/>
  <c r="E1044" i="1"/>
  <c r="E1045" i="1"/>
  <c r="E1046" i="1"/>
  <c r="E1047" i="1"/>
  <c r="E1048" i="1"/>
  <c r="E1049" i="1"/>
  <c r="E1050" i="1"/>
  <c r="E1051" i="1"/>
  <c r="E1052" i="1"/>
  <c r="E1053" i="1"/>
  <c r="E1054" i="1"/>
  <c r="E1055" i="1"/>
  <c r="E1056" i="1"/>
  <c r="E1057" i="1"/>
  <c r="E1058" i="1"/>
  <c r="E1059" i="1"/>
  <c r="E1060" i="1"/>
  <c r="E1061" i="1"/>
  <c r="E1062" i="1"/>
  <c r="E1063" i="1"/>
  <c r="E1064" i="1"/>
  <c r="E1065" i="1"/>
  <c r="E1066" i="1"/>
  <c r="E1067" i="1"/>
  <c r="E1068" i="1"/>
  <c r="E1069" i="1"/>
  <c r="E1070" i="1"/>
  <c r="E1071" i="1"/>
  <c r="E1072" i="1"/>
  <c r="E1073" i="1"/>
  <c r="E1074" i="1"/>
  <c r="E1075" i="1"/>
  <c r="E1076" i="1"/>
  <c r="E1077" i="1"/>
  <c r="E1078" i="1"/>
  <c r="E1079" i="1"/>
  <c r="E1080" i="1"/>
  <c r="E1081" i="1"/>
  <c r="E1082" i="1"/>
  <c r="E1083" i="1"/>
  <c r="E1084" i="1"/>
  <c r="E1085" i="1"/>
  <c r="E1086" i="1"/>
  <c r="E1087" i="1"/>
  <c r="E1088" i="1"/>
  <c r="E1089" i="1"/>
  <c r="E1090" i="1"/>
  <c r="E1091" i="1"/>
  <c r="E1092" i="1"/>
  <c r="E1093" i="1"/>
  <c r="E1094" i="1"/>
  <c r="E1095" i="1"/>
  <c r="E1096" i="1"/>
  <c r="E1097" i="1"/>
  <c r="E1098" i="1"/>
  <c r="E1099" i="1"/>
  <c r="E1100" i="1"/>
  <c r="E1101" i="1"/>
  <c r="E1102" i="1"/>
  <c r="E1103" i="1"/>
  <c r="E1104" i="1"/>
  <c r="E1105" i="1"/>
  <c r="E1106" i="1"/>
  <c r="E1107" i="1"/>
  <c r="E1108" i="1"/>
  <c r="E1109" i="1"/>
  <c r="E1110" i="1"/>
  <c r="E1111" i="1"/>
  <c r="E1112" i="1"/>
  <c r="E1113" i="1"/>
  <c r="E1114" i="1"/>
  <c r="E1115" i="1"/>
  <c r="E1116" i="1"/>
  <c r="E1117" i="1"/>
  <c r="E1118" i="1"/>
  <c r="E1119" i="1"/>
  <c r="E1120" i="1"/>
  <c r="E1121" i="1"/>
  <c r="E1122" i="1"/>
  <c r="E1123" i="1"/>
  <c r="E1124" i="1"/>
  <c r="E1125" i="1"/>
  <c r="E1126" i="1"/>
  <c r="E1127" i="1"/>
  <c r="E1128" i="1"/>
  <c r="E1129" i="1"/>
  <c r="E1130" i="1"/>
  <c r="E1131" i="1"/>
  <c r="E1132" i="1"/>
  <c r="E1133" i="1"/>
  <c r="E1134" i="1"/>
  <c r="E1135" i="1"/>
  <c r="E1136" i="1"/>
  <c r="E1137" i="1"/>
  <c r="E1138" i="1"/>
  <c r="E1139" i="1"/>
  <c r="E1140" i="1"/>
  <c r="E1141" i="1"/>
  <c r="E1142" i="1"/>
  <c r="E1143" i="1"/>
  <c r="E1144" i="1"/>
  <c r="E1145" i="1"/>
  <c r="E1146" i="1"/>
  <c r="E1147" i="1"/>
  <c r="E1148" i="1"/>
  <c r="E1149" i="1"/>
  <c r="E1150" i="1"/>
  <c r="E1151" i="1"/>
  <c r="E1152" i="1"/>
  <c r="E1153" i="1"/>
  <c r="E1154" i="1"/>
  <c r="E1155" i="1"/>
  <c r="E1156" i="1"/>
  <c r="E1157" i="1"/>
  <c r="E1158" i="1"/>
  <c r="E1159" i="1"/>
  <c r="E1160" i="1"/>
  <c r="E1161" i="1"/>
  <c r="E1162" i="1"/>
  <c r="E1163" i="1"/>
  <c r="E1164" i="1"/>
  <c r="E1165" i="1"/>
  <c r="E1166" i="1"/>
  <c r="E1167" i="1"/>
  <c r="E1168" i="1"/>
  <c r="E1169" i="1"/>
  <c r="E1170" i="1"/>
  <c r="E1171" i="1"/>
  <c r="E1172" i="1"/>
  <c r="E1173" i="1"/>
  <c r="E1174" i="1"/>
  <c r="E1175" i="1"/>
  <c r="E1176" i="1"/>
  <c r="E1177" i="1"/>
  <c r="E1178" i="1"/>
  <c r="E1179" i="1"/>
  <c r="E1180" i="1"/>
  <c r="E1181" i="1"/>
  <c r="E1182" i="1"/>
  <c r="E1183" i="1"/>
  <c r="E1184" i="1"/>
  <c r="E1185" i="1"/>
  <c r="E1186" i="1"/>
  <c r="E1187" i="1"/>
  <c r="E1188" i="1"/>
  <c r="E1189" i="1"/>
  <c r="E1190" i="1"/>
  <c r="E1191" i="1"/>
  <c r="E1192" i="1"/>
  <c r="E1193" i="1"/>
  <c r="E1194" i="1"/>
  <c r="E1195" i="1"/>
  <c r="E1196" i="1"/>
  <c r="E1197" i="1"/>
  <c r="E1198" i="1"/>
  <c r="E1199" i="1"/>
  <c r="E1200" i="1"/>
  <c r="E1201" i="1"/>
  <c r="E1202" i="1"/>
  <c r="E1203" i="1"/>
  <c r="E1204" i="1"/>
  <c r="E1205" i="1"/>
  <c r="E1206" i="1"/>
  <c r="E1207" i="1"/>
  <c r="E1208" i="1"/>
  <c r="E1209" i="1"/>
  <c r="E1210" i="1"/>
  <c r="E1211" i="1"/>
  <c r="E1212" i="1"/>
  <c r="E1213" i="1"/>
  <c r="E1214" i="1"/>
  <c r="E1215" i="1"/>
  <c r="E1216" i="1"/>
  <c r="E1217" i="1"/>
  <c r="E1218" i="1"/>
  <c r="E1219" i="1"/>
  <c r="E1220" i="1"/>
  <c r="E1221" i="1"/>
  <c r="E1222" i="1"/>
  <c r="E1223" i="1"/>
  <c r="E1224" i="1"/>
  <c r="E1225" i="1"/>
  <c r="E1226" i="1"/>
  <c r="E1227" i="1"/>
  <c r="E1228" i="1"/>
  <c r="E1229" i="1"/>
  <c r="E1230" i="1"/>
  <c r="E1231" i="1"/>
  <c r="E1232" i="1"/>
  <c r="E1233" i="1"/>
  <c r="E1234" i="1"/>
  <c r="E1235" i="1"/>
  <c r="E1236" i="1"/>
  <c r="E1237" i="1"/>
  <c r="E1238" i="1"/>
  <c r="E1239" i="1"/>
  <c r="E1240" i="1"/>
  <c r="E1241" i="1"/>
  <c r="E1242" i="1"/>
  <c r="E1243" i="1"/>
  <c r="E1244" i="1"/>
  <c r="E1245" i="1"/>
  <c r="E1246" i="1"/>
  <c r="E1247" i="1"/>
  <c r="E1248" i="1"/>
  <c r="E1249" i="1"/>
  <c r="E1250" i="1"/>
  <c r="E1251" i="1"/>
  <c r="E1252" i="1"/>
  <c r="E1253" i="1"/>
  <c r="E1254" i="1"/>
  <c r="E1255" i="1"/>
  <c r="E1256" i="1"/>
  <c r="E1257" i="1"/>
  <c r="E1258" i="1"/>
  <c r="E1259" i="1"/>
  <c r="E1260" i="1"/>
  <c r="E1261" i="1"/>
  <c r="E1262" i="1"/>
  <c r="E1263" i="1"/>
  <c r="E1264" i="1"/>
  <c r="E1265" i="1"/>
  <c r="E1266" i="1"/>
  <c r="E1267" i="1"/>
  <c r="E1268" i="1"/>
  <c r="E1269" i="1"/>
  <c r="E1270" i="1"/>
  <c r="E1271" i="1"/>
  <c r="E1272" i="1"/>
  <c r="E1273" i="1"/>
  <c r="E1274" i="1"/>
  <c r="E1275" i="1"/>
  <c r="E1276" i="1"/>
  <c r="E1277" i="1"/>
  <c r="E1278" i="1"/>
  <c r="E1279" i="1"/>
  <c r="E1280" i="1"/>
  <c r="E1281" i="1"/>
  <c r="E1282" i="1"/>
  <c r="E1283" i="1"/>
  <c r="E1284" i="1"/>
  <c r="E1285" i="1"/>
  <c r="E1286" i="1"/>
  <c r="E1287" i="1"/>
  <c r="E1288" i="1"/>
  <c r="E1289" i="1"/>
  <c r="E1290" i="1"/>
  <c r="E1291" i="1"/>
  <c r="E1292" i="1"/>
  <c r="E1293" i="1"/>
  <c r="E1294" i="1"/>
  <c r="E1295" i="1"/>
  <c r="E1296" i="1"/>
  <c r="E1297" i="1"/>
  <c r="E1298" i="1"/>
  <c r="E1299" i="1"/>
  <c r="E1300" i="1"/>
  <c r="E1301" i="1"/>
  <c r="E1302" i="1"/>
  <c r="E1303" i="1"/>
  <c r="E1304" i="1"/>
  <c r="E1305" i="1"/>
  <c r="E1306" i="1"/>
  <c r="E1307" i="1"/>
  <c r="E1308" i="1"/>
  <c r="E1309" i="1"/>
  <c r="E1310" i="1"/>
  <c r="E1311" i="1"/>
  <c r="E1312" i="1"/>
  <c r="E1313" i="1"/>
  <c r="E1314" i="1"/>
  <c r="E1315" i="1"/>
  <c r="E1316" i="1"/>
  <c r="E1317" i="1"/>
  <c r="E1318" i="1"/>
  <c r="E1319" i="1"/>
  <c r="E1320" i="1"/>
  <c r="E1321" i="1"/>
  <c r="E1322" i="1"/>
  <c r="E1323" i="1"/>
  <c r="E1324" i="1"/>
  <c r="E1325" i="1"/>
  <c r="E1326" i="1"/>
  <c r="E1327" i="1"/>
  <c r="E1328" i="1"/>
  <c r="E1329" i="1"/>
  <c r="E1330" i="1"/>
  <c r="E1331" i="1"/>
  <c r="E1332" i="1"/>
  <c r="E1333" i="1"/>
  <c r="E1334" i="1"/>
  <c r="E1335" i="1"/>
  <c r="E1336" i="1"/>
  <c r="E1337" i="1"/>
  <c r="E1338" i="1"/>
  <c r="E1339" i="1"/>
  <c r="E1340" i="1"/>
  <c r="E1341" i="1"/>
  <c r="E1342" i="1"/>
  <c r="E1343" i="1"/>
  <c r="E1344" i="1"/>
  <c r="E1345" i="1"/>
  <c r="E1346" i="1"/>
  <c r="E1347" i="1"/>
  <c r="E1348" i="1"/>
  <c r="E1349" i="1"/>
  <c r="E1350" i="1"/>
  <c r="E1351" i="1"/>
  <c r="E1352" i="1"/>
  <c r="E1353" i="1"/>
  <c r="E1354" i="1"/>
  <c r="E1355" i="1"/>
  <c r="E1356" i="1"/>
  <c r="E1357" i="1"/>
  <c r="E1358" i="1"/>
  <c r="E1359" i="1"/>
  <c r="E1360" i="1"/>
  <c r="E1361" i="1"/>
  <c r="E1362" i="1"/>
  <c r="E1363" i="1"/>
  <c r="E1364" i="1"/>
  <c r="E1365" i="1"/>
  <c r="E1366" i="1"/>
  <c r="E1367" i="1"/>
  <c r="E1368" i="1"/>
  <c r="E1369" i="1"/>
  <c r="E1370" i="1"/>
  <c r="E1371" i="1"/>
  <c r="E1372" i="1"/>
  <c r="E1373" i="1"/>
  <c r="E1374" i="1"/>
  <c r="E1375" i="1"/>
  <c r="E1376" i="1"/>
  <c r="E1377" i="1"/>
  <c r="E1378" i="1"/>
  <c r="E1379" i="1"/>
  <c r="E1380" i="1"/>
  <c r="E1381" i="1"/>
  <c r="E1382" i="1"/>
  <c r="E1383" i="1"/>
  <c r="E1384" i="1"/>
  <c r="E1385" i="1"/>
  <c r="E1386" i="1"/>
  <c r="E1387" i="1"/>
  <c r="E1388" i="1"/>
  <c r="E1389" i="1"/>
  <c r="E1390" i="1"/>
  <c r="E1391" i="1"/>
  <c r="E1392" i="1"/>
  <c r="E1393" i="1"/>
  <c r="E1394" i="1"/>
  <c r="E1395" i="1"/>
  <c r="E1396" i="1"/>
  <c r="E1397" i="1"/>
  <c r="E1398" i="1"/>
  <c r="E1399" i="1"/>
  <c r="E1400" i="1"/>
  <c r="E1401" i="1"/>
  <c r="E1402" i="1"/>
  <c r="E1403" i="1"/>
  <c r="E1404" i="1"/>
  <c r="E1405" i="1"/>
  <c r="E1406" i="1"/>
  <c r="E1407" i="1"/>
  <c r="E1408" i="1"/>
  <c r="E1409" i="1"/>
  <c r="E1410" i="1"/>
  <c r="E1411" i="1"/>
  <c r="E1412" i="1"/>
  <c r="E1413" i="1"/>
  <c r="E1414" i="1"/>
  <c r="E1415" i="1"/>
  <c r="E1416" i="1"/>
  <c r="E1417" i="1"/>
  <c r="E1418" i="1"/>
  <c r="E1419" i="1"/>
  <c r="E1420" i="1"/>
  <c r="E1421" i="1"/>
  <c r="E1422" i="1"/>
  <c r="E1423" i="1"/>
  <c r="E1424" i="1"/>
  <c r="E1425" i="1"/>
  <c r="E1426" i="1"/>
  <c r="E1427" i="1"/>
  <c r="E1428" i="1"/>
  <c r="E1429" i="1"/>
  <c r="E1430" i="1"/>
  <c r="E1431" i="1"/>
  <c r="E1432" i="1"/>
  <c r="E1433" i="1"/>
  <c r="E1434" i="1"/>
  <c r="E1435" i="1"/>
  <c r="E1436" i="1"/>
  <c r="E1437" i="1"/>
  <c r="E1438" i="1"/>
  <c r="E1439" i="1"/>
  <c r="E1440" i="1"/>
  <c r="E1441" i="1"/>
  <c r="E1442" i="1"/>
  <c r="E1443" i="1"/>
  <c r="E1444" i="1"/>
  <c r="E1445" i="1"/>
  <c r="E1446" i="1"/>
  <c r="E1447" i="1"/>
  <c r="E1448" i="1"/>
  <c r="E1449" i="1"/>
  <c r="E1450" i="1"/>
  <c r="E1451" i="1"/>
  <c r="E1452" i="1"/>
  <c r="E1453" i="1"/>
  <c r="E1454" i="1"/>
  <c r="E1455" i="1"/>
  <c r="E1456" i="1"/>
  <c r="E1457" i="1"/>
  <c r="E1458" i="1"/>
  <c r="E1459" i="1"/>
  <c r="E1460" i="1"/>
  <c r="E1461" i="1"/>
  <c r="E1462" i="1"/>
  <c r="E1463" i="1"/>
  <c r="E1464" i="1"/>
  <c r="E1465" i="1"/>
  <c r="E1466" i="1"/>
  <c r="E1467" i="1"/>
  <c r="E1468" i="1"/>
  <c r="E1469" i="1"/>
  <c r="E1470" i="1"/>
  <c r="E1471" i="1"/>
  <c r="E1472" i="1"/>
  <c r="E1473" i="1"/>
  <c r="E1474" i="1"/>
  <c r="E1475" i="1"/>
  <c r="E1476" i="1"/>
  <c r="E1477" i="1"/>
  <c r="E1478" i="1"/>
  <c r="E1479" i="1"/>
  <c r="E1480" i="1"/>
  <c r="E1481" i="1"/>
  <c r="E1482" i="1"/>
  <c r="E1483" i="1"/>
  <c r="E1484" i="1"/>
  <c r="E1485" i="1"/>
  <c r="E1486" i="1"/>
  <c r="E1487" i="1"/>
  <c r="E1488" i="1"/>
  <c r="E1489" i="1"/>
  <c r="E1490" i="1"/>
  <c r="E1491" i="1"/>
  <c r="E1492" i="1"/>
  <c r="E1493" i="1"/>
  <c r="E1494" i="1"/>
  <c r="E1495" i="1"/>
  <c r="E1496" i="1"/>
  <c r="E1497" i="1"/>
  <c r="E1498" i="1"/>
  <c r="E1499" i="1"/>
  <c r="E1500" i="1"/>
  <c r="E1501" i="1"/>
  <c r="E1502" i="1"/>
  <c r="E1503" i="1"/>
  <c r="E1504" i="1"/>
  <c r="E1505" i="1"/>
  <c r="E1506" i="1"/>
  <c r="E1507" i="1"/>
  <c r="E1508" i="1"/>
  <c r="E1509" i="1"/>
  <c r="E1510" i="1"/>
  <c r="E1511" i="1"/>
  <c r="E1512" i="1"/>
  <c r="E1513" i="1"/>
  <c r="E1514" i="1"/>
  <c r="E1515" i="1"/>
  <c r="E1516" i="1"/>
  <c r="E1517" i="1"/>
  <c r="E1518" i="1"/>
  <c r="E1519" i="1"/>
  <c r="E1520" i="1"/>
  <c r="E1521" i="1"/>
  <c r="E1522" i="1"/>
  <c r="E1523" i="1"/>
  <c r="E1524" i="1"/>
  <c r="E1525" i="1"/>
  <c r="E1526" i="1"/>
  <c r="E1527" i="1"/>
  <c r="E1528" i="1"/>
  <c r="E1529" i="1"/>
  <c r="E1530" i="1"/>
  <c r="E1531" i="1"/>
  <c r="E1532" i="1"/>
  <c r="E1533" i="1"/>
  <c r="E1534" i="1"/>
  <c r="E1535" i="1"/>
  <c r="E1536" i="1"/>
  <c r="E1537" i="1"/>
  <c r="E1538" i="1"/>
  <c r="E1539" i="1"/>
  <c r="E1540" i="1"/>
  <c r="E1541" i="1"/>
  <c r="E1542" i="1"/>
  <c r="E1543" i="1"/>
  <c r="E1544" i="1"/>
  <c r="E1545" i="1"/>
  <c r="E1546" i="1"/>
  <c r="E1547" i="1"/>
  <c r="E1548" i="1"/>
  <c r="E1549" i="1"/>
  <c r="E1550" i="1"/>
  <c r="E1551" i="1"/>
  <c r="E1552" i="1"/>
  <c r="E1553" i="1"/>
  <c r="E1554" i="1"/>
  <c r="E1555" i="1"/>
  <c r="E1556" i="1"/>
  <c r="E1557" i="1"/>
  <c r="E1558" i="1"/>
  <c r="E1559" i="1"/>
  <c r="E1560" i="1"/>
  <c r="E1561" i="1"/>
  <c r="E1562" i="1"/>
  <c r="E1563" i="1"/>
  <c r="E1564" i="1"/>
  <c r="E1565" i="1"/>
  <c r="E1566" i="1"/>
  <c r="E1567" i="1"/>
  <c r="E1568" i="1"/>
  <c r="E1569" i="1"/>
  <c r="E1570" i="1"/>
  <c r="E1571" i="1"/>
  <c r="E1572" i="1"/>
  <c r="E1573" i="1"/>
  <c r="E1574" i="1"/>
  <c r="E1575" i="1"/>
  <c r="E1576" i="1"/>
  <c r="E1577" i="1"/>
  <c r="E1578" i="1"/>
  <c r="E1579" i="1"/>
  <c r="E1580" i="1"/>
  <c r="E1581" i="1"/>
  <c r="E1582" i="1"/>
  <c r="E1583" i="1"/>
  <c r="E1584" i="1"/>
  <c r="E1585" i="1"/>
  <c r="E1586" i="1"/>
  <c r="E1587" i="1"/>
  <c r="E1588" i="1"/>
  <c r="E1589" i="1"/>
  <c r="E1590" i="1"/>
  <c r="E1591" i="1"/>
  <c r="E1592" i="1"/>
  <c r="E1593" i="1"/>
  <c r="E1594" i="1"/>
  <c r="E1595" i="1"/>
  <c r="E1596" i="1"/>
  <c r="E1597" i="1"/>
  <c r="E1598" i="1"/>
  <c r="E1599" i="1"/>
  <c r="E1600" i="1"/>
  <c r="E1601" i="1"/>
  <c r="E1602" i="1"/>
  <c r="E1603" i="1"/>
  <c r="E1604" i="1"/>
  <c r="E1605" i="1"/>
  <c r="E1606" i="1"/>
  <c r="E1607" i="1"/>
  <c r="E1608" i="1"/>
  <c r="E1609" i="1"/>
  <c r="E1610" i="1"/>
  <c r="E1611" i="1"/>
  <c r="E1612" i="1"/>
  <c r="E1613" i="1"/>
  <c r="E1614" i="1"/>
  <c r="E1615" i="1"/>
  <c r="E1616" i="1"/>
  <c r="E1617" i="1"/>
  <c r="E1618" i="1"/>
  <c r="E1619" i="1"/>
  <c r="E1620" i="1"/>
  <c r="E1621" i="1"/>
  <c r="E1622" i="1"/>
  <c r="E1623" i="1"/>
  <c r="E1624" i="1"/>
  <c r="E1625" i="1"/>
  <c r="E1626" i="1"/>
  <c r="E1627" i="1"/>
  <c r="E1628" i="1"/>
  <c r="E1629" i="1"/>
  <c r="E1630" i="1"/>
  <c r="E1631" i="1"/>
  <c r="E1632" i="1"/>
  <c r="E1633" i="1"/>
  <c r="E1634" i="1"/>
  <c r="E1635" i="1"/>
  <c r="E1636" i="1"/>
  <c r="E1637" i="1"/>
  <c r="E1638" i="1"/>
  <c r="E1639" i="1"/>
  <c r="E1640" i="1"/>
  <c r="E1641" i="1"/>
  <c r="E1642" i="1"/>
  <c r="E1643" i="1"/>
  <c r="E1644" i="1"/>
  <c r="E1645" i="1"/>
  <c r="E1646" i="1"/>
  <c r="E1647" i="1"/>
  <c r="E1648" i="1"/>
  <c r="E1649" i="1"/>
  <c r="E1650" i="1"/>
  <c r="E1651" i="1"/>
  <c r="E1652" i="1"/>
  <c r="E1653" i="1"/>
  <c r="E1654" i="1"/>
  <c r="E1655" i="1"/>
  <c r="E1656" i="1"/>
  <c r="E1657" i="1"/>
  <c r="E1658" i="1"/>
  <c r="E1659" i="1"/>
  <c r="E1660" i="1"/>
  <c r="E1661" i="1"/>
  <c r="E1662" i="1"/>
  <c r="E1663" i="1"/>
  <c r="E1664" i="1"/>
  <c r="E1665" i="1"/>
  <c r="E1666" i="1"/>
  <c r="E1667" i="1"/>
  <c r="E1668" i="1"/>
  <c r="E1669" i="1"/>
  <c r="E1670" i="1"/>
  <c r="E1671" i="1"/>
  <c r="E1672" i="1"/>
  <c r="E1673" i="1"/>
  <c r="E1674" i="1"/>
  <c r="E1675" i="1"/>
  <c r="E1676" i="1"/>
  <c r="E1677" i="1"/>
  <c r="E1678" i="1"/>
  <c r="E1679" i="1"/>
  <c r="E1680" i="1"/>
  <c r="E1681" i="1"/>
  <c r="E1682" i="1"/>
  <c r="E1683" i="1"/>
  <c r="E1684" i="1"/>
  <c r="E1685" i="1"/>
  <c r="E1686" i="1"/>
  <c r="E1687" i="1"/>
  <c r="E1688" i="1"/>
  <c r="E1689" i="1"/>
  <c r="E1690" i="1"/>
  <c r="E1691" i="1"/>
  <c r="E1692" i="1"/>
  <c r="E1693" i="1"/>
  <c r="E1694" i="1"/>
  <c r="E1695" i="1"/>
  <c r="E1696" i="1"/>
  <c r="E1697" i="1"/>
  <c r="E1698" i="1"/>
  <c r="E1699" i="1"/>
  <c r="E1700" i="1"/>
  <c r="E1701" i="1"/>
  <c r="E1702" i="1"/>
  <c r="E1703" i="1"/>
  <c r="E1704" i="1"/>
  <c r="E1705" i="1"/>
  <c r="E1706" i="1"/>
  <c r="E1707" i="1"/>
  <c r="E1708" i="1"/>
  <c r="E1709" i="1"/>
  <c r="E1710" i="1"/>
  <c r="E1711" i="1"/>
  <c r="E1712" i="1"/>
  <c r="E1713" i="1"/>
  <c r="E1714" i="1"/>
  <c r="E1715" i="1"/>
  <c r="E1716" i="1"/>
  <c r="E1717" i="1"/>
  <c r="E1718" i="1"/>
  <c r="E1719" i="1"/>
  <c r="E1720" i="1"/>
  <c r="E1721" i="1"/>
  <c r="E1722" i="1"/>
  <c r="E1723" i="1"/>
  <c r="E1724" i="1"/>
  <c r="E1725" i="1"/>
  <c r="E1726" i="1"/>
  <c r="E1727" i="1"/>
  <c r="E1728" i="1"/>
  <c r="E1729" i="1"/>
  <c r="E1730" i="1"/>
  <c r="E1731" i="1"/>
  <c r="E1732" i="1"/>
  <c r="E1733" i="1"/>
  <c r="E1734" i="1"/>
  <c r="E1735" i="1"/>
  <c r="E1736" i="1"/>
  <c r="E1737" i="1"/>
  <c r="E1738" i="1"/>
  <c r="E1739" i="1"/>
  <c r="E1740" i="1"/>
  <c r="E1741" i="1"/>
  <c r="E1742" i="1"/>
  <c r="E1743" i="1"/>
  <c r="E1744" i="1"/>
  <c r="E1745" i="1"/>
  <c r="E1746" i="1"/>
  <c r="E1747" i="1"/>
  <c r="E1748" i="1"/>
  <c r="E1749" i="1"/>
  <c r="E1750" i="1"/>
  <c r="E1751" i="1"/>
  <c r="E1752" i="1"/>
  <c r="E1753" i="1"/>
  <c r="E1754" i="1"/>
  <c r="E1755" i="1"/>
  <c r="E1756" i="1"/>
  <c r="E1757" i="1"/>
  <c r="E1758" i="1"/>
  <c r="E1759" i="1"/>
  <c r="E1760" i="1"/>
  <c r="E1761" i="1"/>
  <c r="E1762" i="1"/>
  <c r="E1763" i="1"/>
  <c r="E1764" i="1"/>
  <c r="E1765" i="1"/>
  <c r="E1766" i="1"/>
  <c r="E1767" i="1"/>
  <c r="E1768" i="1"/>
  <c r="E1769" i="1"/>
  <c r="E1770" i="1"/>
  <c r="E1771" i="1"/>
  <c r="E1772" i="1"/>
  <c r="E1773" i="1"/>
  <c r="E1774" i="1"/>
  <c r="E1775" i="1"/>
  <c r="E1776" i="1"/>
  <c r="E1777" i="1"/>
  <c r="E1778" i="1"/>
  <c r="E1779" i="1"/>
  <c r="E1780" i="1"/>
  <c r="E1781" i="1"/>
  <c r="E1782" i="1"/>
  <c r="E1783" i="1"/>
  <c r="E1784" i="1"/>
  <c r="E1785" i="1"/>
  <c r="E1786" i="1"/>
  <c r="E1787" i="1"/>
  <c r="E1788" i="1"/>
  <c r="E1789" i="1"/>
  <c r="E1790" i="1"/>
  <c r="E1791" i="1"/>
  <c r="E1792" i="1"/>
  <c r="E1793" i="1"/>
  <c r="E1794" i="1"/>
  <c r="E1795" i="1"/>
  <c r="E1796" i="1"/>
  <c r="E1797" i="1"/>
  <c r="E1798" i="1"/>
  <c r="E1799" i="1"/>
  <c r="E1800" i="1"/>
  <c r="E1801" i="1"/>
  <c r="E1802" i="1"/>
  <c r="E1803" i="1"/>
  <c r="E1804" i="1"/>
  <c r="E1805" i="1"/>
  <c r="E1806" i="1"/>
  <c r="E1807" i="1"/>
  <c r="E1808" i="1"/>
  <c r="E1809" i="1"/>
  <c r="E1810" i="1"/>
  <c r="E1811" i="1"/>
  <c r="E1812" i="1"/>
  <c r="E1813" i="1"/>
  <c r="E1814" i="1"/>
  <c r="E1815" i="1"/>
  <c r="E1816" i="1"/>
  <c r="E1817" i="1"/>
  <c r="E1818" i="1"/>
  <c r="E1819" i="1"/>
  <c r="E1820" i="1"/>
  <c r="E1821" i="1"/>
  <c r="E1822" i="1"/>
  <c r="E1823" i="1"/>
  <c r="E1824" i="1"/>
  <c r="E1825" i="1"/>
  <c r="E1826" i="1"/>
  <c r="E1827" i="1"/>
  <c r="E1828" i="1"/>
  <c r="E1829" i="1"/>
  <c r="E1830" i="1"/>
  <c r="E1831" i="1"/>
  <c r="E1832" i="1"/>
  <c r="E1833" i="1"/>
  <c r="E1834" i="1"/>
  <c r="E1835" i="1"/>
  <c r="E1836" i="1"/>
  <c r="E1837" i="1"/>
  <c r="E1838" i="1"/>
  <c r="E1839" i="1"/>
  <c r="E1840" i="1"/>
  <c r="E1841" i="1"/>
  <c r="E1842" i="1"/>
  <c r="E1843" i="1"/>
  <c r="E1844" i="1"/>
  <c r="E1845" i="1"/>
  <c r="E1846" i="1"/>
  <c r="E1847" i="1"/>
  <c r="E1848" i="1"/>
  <c r="E1849" i="1"/>
  <c r="E1850" i="1"/>
  <c r="E1851" i="1"/>
  <c r="E1852" i="1"/>
  <c r="E1853" i="1"/>
  <c r="E1854" i="1"/>
  <c r="E1855" i="1"/>
  <c r="E1856" i="1"/>
  <c r="E1857" i="1"/>
  <c r="E1858" i="1"/>
  <c r="E1859" i="1"/>
  <c r="E1860" i="1"/>
  <c r="E1861" i="1"/>
  <c r="E1862" i="1"/>
  <c r="E1863" i="1"/>
  <c r="E1864" i="1"/>
  <c r="E1865" i="1"/>
  <c r="E1866" i="1"/>
  <c r="E1867" i="1"/>
  <c r="E1868" i="1"/>
  <c r="E1869" i="1"/>
  <c r="E1870" i="1"/>
  <c r="E1871" i="1"/>
  <c r="E1872" i="1"/>
  <c r="E1873" i="1"/>
  <c r="E1874" i="1"/>
  <c r="E1875" i="1"/>
  <c r="E1876" i="1"/>
  <c r="E1877" i="1"/>
  <c r="E1878" i="1"/>
  <c r="E1879" i="1"/>
  <c r="E1880" i="1"/>
  <c r="E1881" i="1"/>
  <c r="E1882" i="1"/>
  <c r="E1883" i="1"/>
  <c r="E1884" i="1"/>
  <c r="E1885" i="1"/>
  <c r="E1886" i="1"/>
  <c r="E1887" i="1"/>
  <c r="E1888" i="1"/>
  <c r="E1889" i="1"/>
  <c r="E1890" i="1"/>
  <c r="E1891" i="1"/>
  <c r="E1892" i="1"/>
  <c r="E1893" i="1"/>
  <c r="E1894" i="1"/>
  <c r="E1895" i="1"/>
  <c r="E1896" i="1"/>
  <c r="E1897" i="1"/>
  <c r="E1898" i="1"/>
  <c r="E1899" i="1"/>
  <c r="E1900" i="1"/>
  <c r="E1901" i="1"/>
  <c r="E1902" i="1"/>
  <c r="E1903" i="1"/>
  <c r="E1904" i="1"/>
  <c r="E1905" i="1"/>
  <c r="E1906" i="1"/>
  <c r="E1907" i="1"/>
  <c r="E1908" i="1"/>
  <c r="E1909" i="1"/>
  <c r="E1910" i="1"/>
  <c r="E1911" i="1"/>
  <c r="E1912" i="1"/>
  <c r="E1913" i="1"/>
  <c r="E1914" i="1"/>
  <c r="E1915" i="1"/>
  <c r="E1916" i="1"/>
  <c r="E1917" i="1"/>
  <c r="E1918" i="1"/>
  <c r="E1919" i="1"/>
  <c r="E1920" i="1"/>
  <c r="E1921" i="1"/>
  <c r="E1922" i="1"/>
  <c r="E1923" i="1"/>
  <c r="E1924" i="1"/>
  <c r="E1925" i="1"/>
  <c r="E1926" i="1"/>
  <c r="E1927" i="1"/>
  <c r="E1928" i="1"/>
  <c r="E1929" i="1"/>
  <c r="E1930" i="1"/>
  <c r="E1931" i="1"/>
  <c r="E1932" i="1"/>
  <c r="E1933" i="1"/>
  <c r="E1934" i="1"/>
  <c r="E1935" i="1"/>
  <c r="E1936" i="1"/>
  <c r="E1937" i="1"/>
  <c r="E1938" i="1"/>
  <c r="E1939" i="1"/>
  <c r="E1940" i="1"/>
  <c r="E1941" i="1"/>
  <c r="E1942" i="1"/>
  <c r="E1943" i="1"/>
  <c r="E1944" i="1"/>
  <c r="E1945" i="1"/>
  <c r="E1946" i="1"/>
  <c r="E1947" i="1"/>
  <c r="E1948" i="1"/>
  <c r="E1949" i="1"/>
  <c r="E1950" i="1"/>
  <c r="E1951" i="1"/>
  <c r="E1952" i="1"/>
  <c r="E1953" i="1"/>
  <c r="E1954" i="1"/>
  <c r="E1955" i="1"/>
  <c r="E1956" i="1"/>
  <c r="E1957" i="1"/>
  <c r="E1958" i="1"/>
  <c r="E1959" i="1"/>
  <c r="E1960" i="1"/>
  <c r="E1961" i="1"/>
  <c r="E1962" i="1"/>
  <c r="E1963" i="1"/>
  <c r="E1964" i="1"/>
  <c r="E1965" i="1"/>
  <c r="E1966" i="1"/>
  <c r="E1967" i="1"/>
  <c r="E1968" i="1"/>
  <c r="E1969" i="1"/>
  <c r="E1970" i="1"/>
  <c r="E1971" i="1"/>
  <c r="E1972" i="1"/>
  <c r="E1973" i="1"/>
  <c r="E1974" i="1"/>
  <c r="E1975" i="1"/>
  <c r="E1976" i="1"/>
  <c r="E1977" i="1"/>
  <c r="E1978" i="1"/>
  <c r="E1979" i="1"/>
  <c r="E1980" i="1"/>
  <c r="E1981" i="1"/>
  <c r="E1982" i="1"/>
  <c r="E1983" i="1"/>
  <c r="E1984" i="1"/>
  <c r="E1985" i="1"/>
  <c r="E1986" i="1"/>
  <c r="E1987" i="1"/>
  <c r="E1988" i="1"/>
  <c r="E1989" i="1"/>
  <c r="E1990" i="1"/>
  <c r="E1991" i="1"/>
  <c r="E1992" i="1"/>
  <c r="E1993" i="1"/>
  <c r="E1994" i="1"/>
  <c r="E1995" i="1"/>
  <c r="E1996" i="1"/>
  <c r="E1997" i="1"/>
  <c r="E1998" i="1"/>
  <c r="E1999" i="1"/>
  <c r="E2000" i="1"/>
  <c r="G12" i="1"/>
  <c r="I12" i="1" s="1"/>
  <c r="F12" i="1"/>
  <c r="E12" i="1"/>
  <c r="D12" i="1"/>
  <c r="D13" i="1" l="1"/>
  <c r="D14" i="1"/>
  <c r="D15" i="1"/>
  <c r="D16" i="1"/>
  <c r="D7" i="1"/>
  <c r="D3" i="1"/>
  <c r="D5" i="1"/>
  <c r="D2" i="1"/>
  <c r="D9" i="1"/>
  <c r="D10" i="1"/>
  <c r="D8" i="1"/>
  <c r="D6" i="1"/>
  <c r="D11" i="1"/>
  <c r="D17" i="1"/>
  <c r="D18" i="1"/>
  <c r="D19" i="1"/>
  <c r="D20" i="1"/>
  <c r="D21" i="1"/>
  <c r="D22" i="1"/>
  <c r="D23" i="1"/>
  <c r="D24" i="1"/>
  <c r="D25" i="1"/>
  <c r="D26" i="1"/>
  <c r="D27" i="1"/>
  <c r="D28" i="1"/>
  <c r="D29" i="1"/>
  <c r="D30" i="1"/>
  <c r="D31" i="1"/>
  <c r="D32" i="1"/>
  <c r="D33" i="1"/>
  <c r="D34" i="1"/>
  <c r="D35" i="1"/>
  <c r="D36" i="1"/>
  <c r="D37" i="1"/>
  <c r="D38" i="1"/>
  <c r="D39" i="1"/>
  <c r="D40" i="1"/>
  <c r="D41" i="1"/>
  <c r="D42" i="1"/>
  <c r="D43" i="1"/>
  <c r="D44" i="1"/>
  <c r="D45" i="1"/>
  <c r="D46" i="1"/>
  <c r="D47" i="1"/>
  <c r="D48" i="1"/>
  <c r="D49" i="1"/>
  <c r="D50" i="1"/>
  <c r="D51" i="1"/>
  <c r="D52" i="1"/>
  <c r="D53" i="1"/>
  <c r="D54" i="1"/>
  <c r="D55" i="1"/>
  <c r="D56" i="1"/>
  <c r="D57" i="1"/>
  <c r="D58" i="1"/>
  <c r="D59" i="1"/>
  <c r="D60" i="1"/>
  <c r="D61" i="1"/>
  <c r="D62" i="1"/>
  <c r="D63" i="1"/>
  <c r="D64" i="1"/>
  <c r="D65" i="1"/>
  <c r="D66" i="1"/>
  <c r="D67" i="1"/>
  <c r="D68" i="1"/>
  <c r="D69" i="1"/>
  <c r="D70" i="1"/>
  <c r="D71" i="1"/>
  <c r="D72" i="1"/>
  <c r="D73" i="1"/>
  <c r="D74" i="1"/>
  <c r="D75" i="1"/>
  <c r="D76" i="1"/>
  <c r="D77" i="1"/>
  <c r="D78" i="1"/>
  <c r="D79" i="1"/>
  <c r="D80" i="1"/>
  <c r="D81" i="1"/>
  <c r="D82" i="1"/>
  <c r="D83" i="1"/>
  <c r="D84" i="1"/>
  <c r="D85" i="1"/>
  <c r="D86" i="1"/>
  <c r="D87" i="1"/>
  <c r="D88" i="1"/>
  <c r="D89" i="1"/>
  <c r="D90" i="1"/>
  <c r="D91" i="1"/>
  <c r="D92" i="1"/>
  <c r="D93" i="1"/>
  <c r="D94" i="1"/>
  <c r="D95" i="1"/>
  <c r="D96" i="1"/>
  <c r="D97" i="1"/>
  <c r="D98" i="1"/>
  <c r="D99" i="1"/>
  <c r="D100" i="1"/>
  <c r="D101" i="1"/>
  <c r="D102" i="1"/>
  <c r="D103" i="1"/>
  <c r="D104" i="1"/>
  <c r="D105" i="1"/>
  <c r="D106" i="1"/>
  <c r="D107" i="1"/>
  <c r="D108" i="1"/>
  <c r="D109" i="1"/>
  <c r="D110" i="1"/>
  <c r="D111" i="1"/>
  <c r="D112" i="1"/>
  <c r="D113" i="1"/>
  <c r="D114" i="1"/>
  <c r="D115" i="1"/>
  <c r="D116" i="1"/>
  <c r="D117" i="1"/>
  <c r="D118" i="1"/>
  <c r="D119" i="1"/>
  <c r="D120" i="1"/>
  <c r="D121" i="1"/>
  <c r="D122" i="1"/>
  <c r="D123" i="1"/>
  <c r="D124" i="1"/>
  <c r="D125" i="1"/>
  <c r="D126" i="1"/>
  <c r="D127" i="1"/>
  <c r="D128" i="1"/>
  <c r="D129" i="1"/>
  <c r="D130" i="1"/>
  <c r="D131" i="1"/>
  <c r="D132" i="1"/>
  <c r="D133" i="1"/>
  <c r="D134" i="1"/>
  <c r="D135" i="1"/>
  <c r="D136" i="1"/>
  <c r="D137" i="1"/>
  <c r="D138" i="1"/>
  <c r="D139" i="1"/>
  <c r="D140" i="1"/>
  <c r="D141" i="1"/>
  <c r="D142" i="1"/>
  <c r="D143" i="1"/>
  <c r="D144" i="1"/>
  <c r="D145" i="1"/>
  <c r="D146" i="1"/>
  <c r="D147" i="1"/>
  <c r="D148" i="1"/>
  <c r="D149" i="1"/>
  <c r="D150" i="1"/>
  <c r="D151" i="1"/>
  <c r="D152" i="1"/>
  <c r="D153" i="1"/>
  <c r="D154" i="1"/>
  <c r="D155" i="1"/>
  <c r="D156" i="1"/>
  <c r="D157" i="1"/>
  <c r="D158" i="1"/>
  <c r="D159" i="1"/>
  <c r="D160" i="1"/>
  <c r="D161" i="1"/>
  <c r="D162" i="1"/>
  <c r="D163" i="1"/>
  <c r="D164" i="1"/>
  <c r="D165" i="1"/>
  <c r="D166" i="1"/>
  <c r="D167" i="1"/>
  <c r="D168" i="1"/>
  <c r="D169" i="1"/>
  <c r="D170" i="1"/>
  <c r="D171" i="1"/>
  <c r="D172" i="1"/>
  <c r="D173" i="1"/>
  <c r="D174" i="1"/>
  <c r="D175" i="1"/>
  <c r="D176" i="1"/>
  <c r="D177" i="1"/>
  <c r="D178" i="1"/>
  <c r="D179" i="1"/>
  <c r="D180" i="1"/>
  <c r="D181" i="1"/>
  <c r="D182" i="1"/>
  <c r="D183" i="1"/>
  <c r="D184" i="1"/>
  <c r="D185" i="1"/>
  <c r="D186" i="1"/>
  <c r="D187" i="1"/>
  <c r="D188" i="1"/>
  <c r="D189" i="1"/>
  <c r="D190" i="1"/>
  <c r="D191" i="1"/>
  <c r="D192" i="1"/>
  <c r="D193" i="1"/>
  <c r="D194" i="1"/>
  <c r="D195" i="1"/>
  <c r="D196" i="1"/>
  <c r="D197" i="1"/>
  <c r="D198" i="1"/>
  <c r="D199" i="1"/>
  <c r="D200" i="1"/>
  <c r="D201" i="1"/>
  <c r="D202" i="1"/>
  <c r="D203" i="1"/>
  <c r="D204" i="1"/>
  <c r="D205" i="1"/>
  <c r="D206" i="1"/>
  <c r="D207" i="1"/>
  <c r="D208" i="1"/>
  <c r="D209" i="1"/>
  <c r="D210" i="1"/>
  <c r="D211" i="1"/>
  <c r="D212" i="1"/>
  <c r="D213" i="1"/>
  <c r="D214" i="1"/>
  <c r="D215" i="1"/>
  <c r="D216" i="1"/>
  <c r="D217" i="1"/>
  <c r="D218" i="1"/>
  <c r="D219" i="1"/>
  <c r="D220" i="1"/>
  <c r="D221" i="1"/>
  <c r="D222" i="1"/>
  <c r="D223" i="1"/>
  <c r="D224" i="1"/>
  <c r="D225" i="1"/>
  <c r="D226" i="1"/>
  <c r="D227" i="1"/>
  <c r="D228" i="1"/>
  <c r="D229" i="1"/>
  <c r="D230" i="1"/>
  <c r="D231" i="1"/>
  <c r="D232" i="1"/>
  <c r="D233" i="1"/>
  <c r="D234" i="1"/>
  <c r="D235" i="1"/>
  <c r="D236" i="1"/>
  <c r="D237" i="1"/>
  <c r="D238" i="1"/>
  <c r="D239" i="1"/>
  <c r="D240" i="1"/>
  <c r="D241" i="1"/>
  <c r="D242" i="1"/>
  <c r="D243" i="1"/>
  <c r="D244" i="1"/>
  <c r="D245" i="1"/>
  <c r="D246" i="1"/>
  <c r="D247" i="1"/>
  <c r="D248" i="1"/>
  <c r="D249" i="1"/>
  <c r="D250" i="1"/>
  <c r="D251" i="1"/>
  <c r="D252" i="1"/>
  <c r="D253" i="1"/>
  <c r="D254" i="1"/>
  <c r="D255" i="1"/>
  <c r="D256" i="1"/>
  <c r="D257" i="1"/>
  <c r="D258" i="1"/>
  <c r="D259" i="1"/>
  <c r="D260" i="1"/>
  <c r="D261" i="1"/>
  <c r="D262" i="1"/>
  <c r="D263" i="1"/>
  <c r="D264" i="1"/>
  <c r="D265" i="1"/>
  <c r="D266" i="1"/>
  <c r="D267" i="1"/>
  <c r="D268" i="1"/>
  <c r="D269" i="1"/>
  <c r="D270" i="1"/>
  <c r="D271" i="1"/>
  <c r="D272" i="1"/>
  <c r="D273" i="1"/>
  <c r="D274" i="1"/>
  <c r="D275" i="1"/>
  <c r="D276" i="1"/>
  <c r="D277" i="1"/>
  <c r="D278" i="1"/>
  <c r="D279" i="1"/>
  <c r="D280" i="1"/>
  <c r="D281" i="1"/>
  <c r="D282" i="1"/>
  <c r="D283" i="1"/>
  <c r="D284" i="1"/>
  <c r="D285" i="1"/>
  <c r="D286" i="1"/>
  <c r="D287" i="1"/>
  <c r="D288" i="1"/>
  <c r="D289" i="1"/>
  <c r="D290" i="1"/>
  <c r="D291" i="1"/>
  <c r="D292" i="1"/>
  <c r="D293" i="1"/>
  <c r="D294" i="1"/>
  <c r="D295" i="1"/>
  <c r="D296" i="1"/>
  <c r="D297" i="1"/>
  <c r="D298" i="1"/>
  <c r="D299" i="1"/>
  <c r="D300" i="1"/>
  <c r="D301" i="1"/>
  <c r="D302" i="1"/>
  <c r="D303" i="1"/>
  <c r="D304" i="1"/>
  <c r="D305" i="1"/>
  <c r="D306" i="1"/>
  <c r="D307" i="1"/>
  <c r="D308" i="1"/>
  <c r="D309" i="1"/>
  <c r="D310" i="1"/>
  <c r="D311" i="1"/>
  <c r="D312" i="1"/>
  <c r="D313" i="1"/>
  <c r="D314" i="1"/>
  <c r="D315" i="1"/>
  <c r="D316" i="1"/>
  <c r="D317" i="1"/>
  <c r="D318" i="1"/>
  <c r="D319" i="1"/>
  <c r="D320" i="1"/>
  <c r="D321" i="1"/>
  <c r="D322" i="1"/>
  <c r="D323" i="1"/>
  <c r="D324" i="1"/>
  <c r="D325" i="1"/>
  <c r="D326" i="1"/>
  <c r="D327" i="1"/>
  <c r="D328" i="1"/>
  <c r="D329" i="1"/>
  <c r="D330" i="1"/>
  <c r="D331" i="1"/>
  <c r="D332" i="1"/>
  <c r="D333" i="1"/>
  <c r="D334" i="1"/>
  <c r="D335" i="1"/>
  <c r="D336" i="1"/>
  <c r="D337" i="1"/>
  <c r="D338" i="1"/>
  <c r="D339" i="1"/>
  <c r="D340" i="1"/>
  <c r="D341" i="1"/>
  <c r="D342" i="1"/>
  <c r="D343" i="1"/>
  <c r="D344" i="1"/>
  <c r="D345" i="1"/>
  <c r="D346" i="1"/>
  <c r="D347" i="1"/>
  <c r="D348" i="1"/>
  <c r="D349" i="1"/>
  <c r="D350" i="1"/>
  <c r="D351" i="1"/>
  <c r="D352" i="1"/>
  <c r="D353" i="1"/>
  <c r="D354" i="1"/>
  <c r="D355" i="1"/>
  <c r="D356" i="1"/>
  <c r="D357" i="1"/>
  <c r="D358" i="1"/>
  <c r="D359" i="1"/>
  <c r="D360" i="1"/>
  <c r="D361" i="1"/>
  <c r="D362" i="1"/>
  <c r="D363" i="1"/>
  <c r="D364" i="1"/>
  <c r="D365" i="1"/>
  <c r="D366" i="1"/>
  <c r="D367" i="1"/>
  <c r="D368" i="1"/>
  <c r="D369" i="1"/>
  <c r="D370" i="1"/>
  <c r="D371" i="1"/>
  <c r="D372" i="1"/>
  <c r="D373" i="1"/>
  <c r="D374" i="1"/>
  <c r="D375" i="1"/>
  <c r="D376" i="1"/>
  <c r="D377" i="1"/>
  <c r="D378" i="1"/>
  <c r="D379" i="1"/>
  <c r="D380" i="1"/>
  <c r="D381" i="1"/>
  <c r="D382" i="1"/>
  <c r="D383" i="1"/>
  <c r="D384" i="1"/>
  <c r="D385" i="1"/>
  <c r="D386" i="1"/>
  <c r="D387" i="1"/>
  <c r="D388" i="1"/>
  <c r="D389" i="1"/>
  <c r="D390" i="1"/>
  <c r="D391" i="1"/>
  <c r="D392" i="1"/>
  <c r="D393" i="1"/>
  <c r="D394" i="1"/>
  <c r="D395" i="1"/>
  <c r="D396" i="1"/>
  <c r="D397" i="1"/>
  <c r="D398" i="1"/>
  <c r="D399" i="1"/>
  <c r="D400" i="1"/>
  <c r="D401" i="1"/>
  <c r="D402" i="1"/>
  <c r="D403" i="1"/>
  <c r="D404" i="1"/>
  <c r="D405" i="1"/>
  <c r="D406" i="1"/>
  <c r="D407" i="1"/>
  <c r="D408" i="1"/>
  <c r="D409" i="1"/>
  <c r="D410" i="1"/>
  <c r="D411" i="1"/>
  <c r="D412" i="1"/>
  <c r="D413" i="1"/>
  <c r="D414" i="1"/>
  <c r="D415" i="1"/>
  <c r="D416" i="1"/>
  <c r="D417" i="1"/>
  <c r="D418" i="1"/>
  <c r="D419" i="1"/>
  <c r="D420" i="1"/>
  <c r="D421" i="1"/>
  <c r="D422" i="1"/>
  <c r="D423" i="1"/>
  <c r="D424" i="1"/>
  <c r="D425" i="1"/>
  <c r="D426" i="1"/>
  <c r="D427" i="1"/>
  <c r="D428" i="1"/>
  <c r="D429" i="1"/>
  <c r="D430" i="1"/>
  <c r="D431" i="1"/>
  <c r="D432" i="1"/>
  <c r="D433" i="1"/>
  <c r="D434" i="1"/>
  <c r="D435" i="1"/>
  <c r="D436" i="1"/>
  <c r="D437" i="1"/>
  <c r="D438" i="1"/>
  <c r="D439" i="1"/>
  <c r="D440" i="1"/>
  <c r="D441" i="1"/>
  <c r="D442" i="1"/>
  <c r="D443" i="1"/>
  <c r="D444" i="1"/>
  <c r="D445" i="1"/>
  <c r="D446" i="1"/>
  <c r="D447" i="1"/>
  <c r="D448" i="1"/>
  <c r="D449" i="1"/>
  <c r="D450" i="1"/>
  <c r="D451" i="1"/>
  <c r="D452" i="1"/>
  <c r="D453" i="1"/>
  <c r="D454" i="1"/>
  <c r="D455" i="1"/>
  <c r="D456" i="1"/>
  <c r="D457" i="1"/>
  <c r="D458" i="1"/>
  <c r="D459" i="1"/>
  <c r="D460" i="1"/>
  <c r="D461" i="1"/>
  <c r="D462" i="1"/>
  <c r="D463" i="1"/>
  <c r="D464" i="1"/>
  <c r="D465" i="1"/>
  <c r="D466" i="1"/>
  <c r="D467" i="1"/>
  <c r="D468" i="1"/>
  <c r="D469" i="1"/>
  <c r="D470" i="1"/>
  <c r="D471" i="1"/>
  <c r="D472" i="1"/>
  <c r="D473" i="1"/>
  <c r="D474" i="1"/>
  <c r="D475" i="1"/>
  <c r="D476" i="1"/>
  <c r="D477" i="1"/>
  <c r="D478" i="1"/>
  <c r="D479" i="1"/>
  <c r="D480" i="1"/>
  <c r="D481" i="1"/>
  <c r="D482" i="1"/>
  <c r="D483" i="1"/>
  <c r="D484" i="1"/>
  <c r="D485" i="1"/>
  <c r="D486" i="1"/>
  <c r="D487" i="1"/>
  <c r="D488" i="1"/>
  <c r="D489" i="1"/>
  <c r="D490" i="1"/>
  <c r="D491" i="1"/>
  <c r="D492" i="1"/>
  <c r="D493" i="1"/>
  <c r="D494" i="1"/>
  <c r="D495" i="1"/>
  <c r="D496" i="1"/>
  <c r="D497" i="1"/>
  <c r="D498" i="1"/>
  <c r="D499" i="1"/>
  <c r="D500" i="1"/>
  <c r="D501" i="1"/>
  <c r="D502" i="1"/>
  <c r="D503" i="1"/>
  <c r="D504" i="1"/>
  <c r="D505" i="1"/>
  <c r="D506" i="1"/>
  <c r="D507" i="1"/>
  <c r="D508" i="1"/>
  <c r="D509" i="1"/>
  <c r="D510" i="1"/>
  <c r="D511" i="1"/>
  <c r="D512" i="1"/>
  <c r="D513" i="1"/>
  <c r="D514" i="1"/>
  <c r="D515" i="1"/>
  <c r="D516" i="1"/>
  <c r="D517" i="1"/>
  <c r="D518" i="1"/>
  <c r="D519" i="1"/>
  <c r="D520" i="1"/>
  <c r="D521" i="1"/>
  <c r="D522" i="1"/>
  <c r="D523" i="1"/>
  <c r="D524" i="1"/>
  <c r="D525" i="1"/>
  <c r="D526" i="1"/>
  <c r="D527" i="1"/>
  <c r="D528" i="1"/>
  <c r="D529" i="1"/>
  <c r="D530" i="1"/>
  <c r="D531" i="1"/>
  <c r="D532" i="1"/>
  <c r="D533" i="1"/>
  <c r="D534" i="1"/>
  <c r="D535" i="1"/>
  <c r="D536" i="1"/>
  <c r="D537" i="1"/>
  <c r="D538" i="1"/>
  <c r="D539" i="1"/>
  <c r="D540" i="1"/>
  <c r="D541" i="1"/>
  <c r="D542" i="1"/>
  <c r="D543" i="1"/>
  <c r="D544" i="1"/>
  <c r="D545" i="1"/>
  <c r="D546" i="1"/>
  <c r="D547" i="1"/>
  <c r="D548" i="1"/>
  <c r="D549" i="1"/>
  <c r="D550" i="1"/>
  <c r="D551" i="1"/>
  <c r="D552" i="1"/>
  <c r="D553" i="1"/>
  <c r="D554" i="1"/>
  <c r="D555" i="1"/>
  <c r="D556" i="1"/>
  <c r="D557" i="1"/>
  <c r="D558" i="1"/>
  <c r="D559" i="1"/>
  <c r="D560" i="1"/>
  <c r="D561" i="1"/>
  <c r="D562" i="1"/>
  <c r="D563" i="1"/>
  <c r="D564" i="1"/>
  <c r="D565" i="1"/>
  <c r="D566" i="1"/>
  <c r="D567" i="1"/>
  <c r="D568" i="1"/>
  <c r="D569" i="1"/>
  <c r="D570" i="1"/>
  <c r="D571" i="1"/>
  <c r="D572" i="1"/>
  <c r="D573" i="1"/>
  <c r="D574" i="1"/>
  <c r="D575" i="1"/>
  <c r="D576" i="1"/>
  <c r="D577" i="1"/>
  <c r="D578" i="1"/>
  <c r="D579" i="1"/>
  <c r="D580" i="1"/>
  <c r="D581" i="1"/>
  <c r="D582" i="1"/>
  <c r="D583" i="1"/>
  <c r="D584" i="1"/>
  <c r="D585" i="1"/>
  <c r="D586" i="1"/>
  <c r="D587" i="1"/>
  <c r="D588" i="1"/>
  <c r="D589" i="1"/>
  <c r="D590" i="1"/>
  <c r="D591" i="1"/>
  <c r="D592" i="1"/>
  <c r="D593" i="1"/>
  <c r="D594" i="1"/>
  <c r="D595" i="1"/>
  <c r="D596" i="1"/>
  <c r="D597" i="1"/>
  <c r="D598" i="1"/>
  <c r="D599" i="1"/>
  <c r="D600" i="1"/>
  <c r="D601" i="1"/>
  <c r="D602" i="1"/>
  <c r="D603" i="1"/>
  <c r="D604" i="1"/>
  <c r="D605" i="1"/>
  <c r="D606" i="1"/>
  <c r="D607" i="1"/>
  <c r="D608" i="1"/>
  <c r="D609" i="1"/>
  <c r="D610" i="1"/>
  <c r="D611" i="1"/>
  <c r="D612" i="1"/>
  <c r="D613" i="1"/>
  <c r="D614" i="1"/>
  <c r="D615" i="1"/>
  <c r="D616" i="1"/>
  <c r="D617" i="1"/>
  <c r="D618" i="1"/>
  <c r="D619" i="1"/>
  <c r="D620" i="1"/>
  <c r="D621" i="1"/>
  <c r="D622" i="1"/>
  <c r="D623" i="1"/>
  <c r="D624" i="1"/>
  <c r="D625" i="1"/>
  <c r="D626" i="1"/>
  <c r="D627" i="1"/>
  <c r="D628" i="1"/>
  <c r="D629" i="1"/>
  <c r="D630" i="1"/>
  <c r="D631" i="1"/>
  <c r="D632" i="1"/>
  <c r="D633" i="1"/>
  <c r="D634" i="1"/>
  <c r="D635" i="1"/>
  <c r="D636" i="1"/>
  <c r="D637" i="1"/>
  <c r="D638" i="1"/>
  <c r="D639" i="1"/>
  <c r="D640" i="1"/>
  <c r="D641" i="1"/>
  <c r="D642" i="1"/>
  <c r="D643" i="1"/>
  <c r="D644" i="1"/>
  <c r="D645" i="1"/>
  <c r="D646" i="1"/>
  <c r="D647" i="1"/>
  <c r="D648" i="1"/>
  <c r="D649" i="1"/>
  <c r="D650" i="1"/>
  <c r="D651" i="1"/>
  <c r="D652" i="1"/>
  <c r="D653" i="1"/>
  <c r="D654" i="1"/>
  <c r="D655" i="1"/>
  <c r="D656" i="1"/>
  <c r="D657" i="1"/>
  <c r="D658" i="1"/>
  <c r="D659" i="1"/>
  <c r="D660" i="1"/>
  <c r="D661" i="1"/>
  <c r="D662" i="1"/>
  <c r="D663" i="1"/>
  <c r="D664" i="1"/>
  <c r="D665" i="1"/>
  <c r="D666" i="1"/>
  <c r="D667" i="1"/>
  <c r="D668" i="1"/>
  <c r="D669" i="1"/>
  <c r="D670" i="1"/>
  <c r="D671" i="1"/>
  <c r="D672" i="1"/>
  <c r="D673" i="1"/>
  <c r="D674" i="1"/>
  <c r="D675" i="1"/>
  <c r="D676" i="1"/>
  <c r="D677" i="1"/>
  <c r="D678" i="1"/>
  <c r="D679" i="1"/>
  <c r="D680" i="1"/>
  <c r="D681" i="1"/>
  <c r="D682" i="1"/>
  <c r="D683" i="1"/>
  <c r="D684" i="1"/>
  <c r="D685" i="1"/>
  <c r="D686" i="1"/>
  <c r="D687" i="1"/>
  <c r="D688" i="1"/>
  <c r="D689" i="1"/>
  <c r="D690" i="1"/>
  <c r="D691" i="1"/>
  <c r="D692" i="1"/>
  <c r="D693" i="1"/>
  <c r="D694" i="1"/>
  <c r="D695" i="1"/>
  <c r="D696" i="1"/>
  <c r="D697" i="1"/>
  <c r="D698" i="1"/>
  <c r="D699" i="1"/>
  <c r="D700" i="1"/>
  <c r="D701" i="1"/>
  <c r="D702" i="1"/>
  <c r="D703" i="1"/>
  <c r="D704" i="1"/>
  <c r="D705" i="1"/>
  <c r="D706" i="1"/>
  <c r="D707" i="1"/>
  <c r="D708" i="1"/>
  <c r="D709" i="1"/>
  <c r="D710" i="1"/>
  <c r="D711" i="1"/>
  <c r="D712" i="1"/>
  <c r="D713" i="1"/>
  <c r="D714" i="1"/>
  <c r="D715" i="1"/>
  <c r="D716" i="1"/>
  <c r="D717" i="1"/>
  <c r="D718" i="1"/>
  <c r="D719" i="1"/>
  <c r="D720" i="1"/>
  <c r="D721" i="1"/>
  <c r="D722" i="1"/>
  <c r="D723" i="1"/>
  <c r="D724" i="1"/>
  <c r="D725" i="1"/>
  <c r="D726" i="1"/>
  <c r="D727" i="1"/>
  <c r="D728" i="1"/>
  <c r="D729" i="1"/>
  <c r="D730" i="1"/>
  <c r="D731" i="1"/>
  <c r="D732" i="1"/>
  <c r="D733" i="1"/>
  <c r="D734" i="1"/>
  <c r="D735" i="1"/>
  <c r="D736" i="1"/>
  <c r="D737" i="1"/>
  <c r="D738" i="1"/>
  <c r="D739" i="1"/>
  <c r="D740" i="1"/>
  <c r="D741" i="1"/>
  <c r="D742" i="1"/>
  <c r="D743" i="1"/>
  <c r="D744" i="1"/>
  <c r="D745" i="1"/>
  <c r="D746" i="1"/>
  <c r="D747" i="1"/>
  <c r="D748" i="1"/>
  <c r="D749" i="1"/>
  <c r="D750" i="1"/>
  <c r="D751" i="1"/>
  <c r="D752" i="1"/>
  <c r="D753" i="1"/>
  <c r="D754" i="1"/>
  <c r="D755" i="1"/>
  <c r="D756" i="1"/>
  <c r="D757" i="1"/>
  <c r="D758" i="1"/>
  <c r="D759" i="1"/>
  <c r="D760" i="1"/>
  <c r="D761" i="1"/>
  <c r="D762" i="1"/>
  <c r="D763" i="1"/>
  <c r="D764" i="1"/>
  <c r="D765" i="1"/>
  <c r="D766" i="1"/>
  <c r="D767" i="1"/>
  <c r="D768" i="1"/>
  <c r="D769" i="1"/>
  <c r="D770" i="1"/>
  <c r="D771" i="1"/>
  <c r="D772" i="1"/>
  <c r="D773" i="1"/>
  <c r="D774" i="1"/>
  <c r="D775" i="1"/>
  <c r="D776" i="1"/>
  <c r="D777" i="1"/>
  <c r="D778" i="1"/>
  <c r="D779" i="1"/>
  <c r="D780" i="1"/>
  <c r="D781" i="1"/>
  <c r="D782" i="1"/>
  <c r="D783" i="1"/>
  <c r="D784" i="1"/>
  <c r="D785" i="1"/>
  <c r="D786" i="1"/>
  <c r="D787" i="1"/>
  <c r="D788" i="1"/>
  <c r="D789" i="1"/>
  <c r="D790" i="1"/>
  <c r="D791" i="1"/>
  <c r="D792" i="1"/>
  <c r="D793" i="1"/>
  <c r="D794" i="1"/>
  <c r="D795" i="1"/>
  <c r="D796" i="1"/>
  <c r="D797" i="1"/>
  <c r="D798" i="1"/>
  <c r="D799" i="1"/>
  <c r="D800" i="1"/>
  <c r="D801" i="1"/>
  <c r="D802" i="1"/>
  <c r="D803" i="1"/>
  <c r="D804" i="1"/>
  <c r="D805" i="1"/>
  <c r="D806" i="1"/>
  <c r="D807" i="1"/>
  <c r="D808" i="1"/>
  <c r="D809" i="1"/>
  <c r="D810" i="1"/>
  <c r="D811" i="1"/>
  <c r="D812" i="1"/>
  <c r="D813" i="1"/>
  <c r="D814" i="1"/>
  <c r="D815" i="1"/>
  <c r="D816" i="1"/>
  <c r="D817" i="1"/>
  <c r="D818" i="1"/>
  <c r="D819" i="1"/>
  <c r="D820" i="1"/>
  <c r="D821" i="1"/>
  <c r="D822" i="1"/>
  <c r="D823" i="1"/>
  <c r="D824" i="1"/>
  <c r="D825" i="1"/>
  <c r="D826" i="1"/>
  <c r="D827" i="1"/>
  <c r="D828" i="1"/>
  <c r="D829" i="1"/>
  <c r="D830" i="1"/>
  <c r="D831" i="1"/>
  <c r="D832" i="1"/>
  <c r="D833" i="1"/>
  <c r="D834" i="1"/>
  <c r="D835" i="1"/>
  <c r="D836" i="1"/>
  <c r="D837" i="1"/>
  <c r="D838" i="1"/>
  <c r="D839" i="1"/>
  <c r="D840" i="1"/>
  <c r="D841" i="1"/>
  <c r="D842" i="1"/>
  <c r="D843" i="1"/>
  <c r="D844" i="1"/>
  <c r="D845" i="1"/>
  <c r="D846" i="1"/>
  <c r="D847" i="1"/>
  <c r="D848" i="1"/>
  <c r="D849" i="1"/>
  <c r="D850" i="1"/>
  <c r="D851" i="1"/>
  <c r="D852" i="1"/>
  <c r="D853" i="1"/>
  <c r="D854" i="1"/>
  <c r="D855" i="1"/>
  <c r="D856" i="1"/>
  <c r="D857" i="1"/>
  <c r="D858" i="1"/>
  <c r="D859" i="1"/>
  <c r="D860" i="1"/>
  <c r="D861" i="1"/>
  <c r="D862" i="1"/>
  <c r="D863" i="1"/>
  <c r="D864" i="1"/>
  <c r="D865" i="1"/>
  <c r="D866" i="1"/>
  <c r="D867" i="1"/>
  <c r="D868" i="1"/>
  <c r="D869" i="1"/>
  <c r="D870" i="1"/>
  <c r="D871" i="1"/>
  <c r="D872" i="1"/>
  <c r="D873" i="1"/>
  <c r="D874" i="1"/>
  <c r="D875" i="1"/>
  <c r="D876" i="1"/>
  <c r="D877" i="1"/>
  <c r="D878" i="1"/>
  <c r="D879" i="1"/>
  <c r="D880" i="1"/>
  <c r="D881" i="1"/>
  <c r="D882" i="1"/>
  <c r="D883" i="1"/>
  <c r="D884" i="1"/>
  <c r="D885" i="1"/>
  <c r="D886" i="1"/>
  <c r="D887" i="1"/>
  <c r="D888" i="1"/>
  <c r="D889" i="1"/>
  <c r="D890" i="1"/>
  <c r="D891" i="1"/>
  <c r="D892" i="1"/>
  <c r="D893" i="1"/>
  <c r="D894" i="1"/>
  <c r="D895" i="1"/>
  <c r="D896" i="1"/>
  <c r="D897" i="1"/>
  <c r="D898" i="1"/>
  <c r="D899" i="1"/>
  <c r="D900" i="1"/>
  <c r="D901" i="1"/>
  <c r="D902" i="1"/>
  <c r="D903" i="1"/>
  <c r="D904" i="1"/>
  <c r="D905" i="1"/>
  <c r="D906" i="1"/>
  <c r="D907" i="1"/>
  <c r="D908" i="1"/>
  <c r="D909" i="1"/>
  <c r="D910" i="1"/>
  <c r="D911" i="1"/>
  <c r="D912" i="1"/>
  <c r="D913" i="1"/>
  <c r="D914" i="1"/>
  <c r="D915" i="1"/>
  <c r="D916" i="1"/>
  <c r="D917" i="1"/>
  <c r="D918" i="1"/>
  <c r="D919" i="1"/>
  <c r="D920" i="1"/>
  <c r="D921" i="1"/>
  <c r="D922" i="1"/>
  <c r="D923" i="1"/>
  <c r="D924" i="1"/>
  <c r="D925" i="1"/>
  <c r="D926" i="1"/>
  <c r="D927" i="1"/>
  <c r="D928" i="1"/>
  <c r="D929" i="1"/>
  <c r="D930" i="1"/>
  <c r="D931" i="1"/>
  <c r="D932" i="1"/>
  <c r="D933" i="1"/>
  <c r="D934" i="1"/>
  <c r="D935" i="1"/>
  <c r="D936" i="1"/>
  <c r="D937" i="1"/>
  <c r="D938" i="1"/>
  <c r="D939" i="1"/>
  <c r="D940" i="1"/>
  <c r="D941" i="1"/>
  <c r="D942" i="1"/>
  <c r="D943" i="1"/>
  <c r="D944" i="1"/>
  <c r="D945" i="1"/>
  <c r="D946" i="1"/>
  <c r="D947" i="1"/>
  <c r="D948" i="1"/>
  <c r="D949" i="1"/>
  <c r="D950" i="1"/>
  <c r="D951" i="1"/>
  <c r="D952" i="1"/>
  <c r="D953" i="1"/>
  <c r="D954" i="1"/>
  <c r="D955" i="1"/>
  <c r="D956" i="1"/>
  <c r="D957" i="1"/>
  <c r="D958" i="1"/>
  <c r="D959" i="1"/>
  <c r="D960" i="1"/>
  <c r="D961" i="1"/>
  <c r="D962" i="1"/>
  <c r="D963" i="1"/>
  <c r="D964" i="1"/>
  <c r="D965" i="1"/>
  <c r="D966" i="1"/>
  <c r="D967" i="1"/>
  <c r="D968" i="1"/>
  <c r="D969" i="1"/>
  <c r="D970" i="1"/>
  <c r="D971" i="1"/>
  <c r="D972" i="1"/>
  <c r="D973" i="1"/>
  <c r="D974" i="1"/>
  <c r="D975" i="1"/>
  <c r="D976" i="1"/>
  <c r="D977" i="1"/>
  <c r="D978" i="1"/>
  <c r="D979" i="1"/>
  <c r="D980" i="1"/>
  <c r="D981" i="1"/>
  <c r="D982" i="1"/>
  <c r="D983" i="1"/>
  <c r="D984" i="1"/>
  <c r="D985" i="1"/>
  <c r="D986" i="1"/>
  <c r="D987" i="1"/>
  <c r="D988" i="1"/>
  <c r="D989" i="1"/>
  <c r="D990" i="1"/>
  <c r="D991" i="1"/>
  <c r="D992" i="1"/>
  <c r="D993" i="1"/>
  <c r="D994" i="1"/>
  <c r="D995" i="1"/>
  <c r="D996" i="1"/>
  <c r="D997" i="1"/>
  <c r="D998" i="1"/>
  <c r="D999" i="1"/>
  <c r="D1000" i="1"/>
  <c r="D1001" i="1"/>
  <c r="D1002" i="1"/>
  <c r="D1003" i="1"/>
  <c r="D1004" i="1"/>
  <c r="D1005" i="1"/>
  <c r="D1006" i="1"/>
  <c r="D1007" i="1"/>
  <c r="D1008" i="1"/>
  <c r="D1009" i="1"/>
  <c r="D1010" i="1"/>
  <c r="D1011" i="1"/>
  <c r="D1012" i="1"/>
  <c r="D1013" i="1"/>
  <c r="D1014" i="1"/>
  <c r="D1015" i="1"/>
  <c r="D1016" i="1"/>
  <c r="D1017" i="1"/>
  <c r="D1018" i="1"/>
  <c r="D1019" i="1"/>
  <c r="D1020" i="1"/>
  <c r="D1021" i="1"/>
  <c r="D1022" i="1"/>
  <c r="D1023" i="1"/>
  <c r="D1024" i="1"/>
  <c r="D1025" i="1"/>
  <c r="D1026" i="1"/>
  <c r="D1027" i="1"/>
  <c r="D1028" i="1"/>
  <c r="D1029" i="1"/>
  <c r="D1030" i="1"/>
  <c r="D1031" i="1"/>
  <c r="D1032" i="1"/>
  <c r="D1033" i="1"/>
  <c r="D1034" i="1"/>
  <c r="D1035" i="1"/>
  <c r="D1036" i="1"/>
  <c r="D1037" i="1"/>
  <c r="D1038" i="1"/>
  <c r="D1039" i="1"/>
  <c r="D1040" i="1"/>
  <c r="D1041" i="1"/>
  <c r="D1042" i="1"/>
  <c r="D1043" i="1"/>
  <c r="D1044" i="1"/>
  <c r="D1045" i="1"/>
  <c r="D1046" i="1"/>
  <c r="D1047" i="1"/>
  <c r="D1048" i="1"/>
  <c r="D1049" i="1"/>
  <c r="D1050" i="1"/>
  <c r="D1051" i="1"/>
  <c r="D1052" i="1"/>
  <c r="D1053" i="1"/>
  <c r="D1054" i="1"/>
  <c r="D1055" i="1"/>
  <c r="D1056" i="1"/>
  <c r="D1057" i="1"/>
  <c r="D1058" i="1"/>
  <c r="D1059" i="1"/>
  <c r="D1060" i="1"/>
  <c r="D1061" i="1"/>
  <c r="D1062" i="1"/>
  <c r="D1063" i="1"/>
  <c r="D1064" i="1"/>
  <c r="D1065" i="1"/>
  <c r="D1066" i="1"/>
  <c r="D1067" i="1"/>
  <c r="D1068" i="1"/>
  <c r="D1069" i="1"/>
  <c r="D1070" i="1"/>
  <c r="D1071" i="1"/>
  <c r="D1072" i="1"/>
  <c r="D1073" i="1"/>
  <c r="D1074" i="1"/>
  <c r="D1075" i="1"/>
  <c r="D1076" i="1"/>
  <c r="D1077" i="1"/>
  <c r="D1078" i="1"/>
  <c r="D1079" i="1"/>
  <c r="D1080" i="1"/>
  <c r="D1081" i="1"/>
  <c r="D1082" i="1"/>
  <c r="D1083" i="1"/>
  <c r="D1084" i="1"/>
  <c r="D1085" i="1"/>
  <c r="D1086" i="1"/>
  <c r="D1087" i="1"/>
  <c r="D1088" i="1"/>
  <c r="D1089" i="1"/>
  <c r="D1090" i="1"/>
  <c r="D1091" i="1"/>
  <c r="D1092" i="1"/>
  <c r="D1093" i="1"/>
  <c r="D1094" i="1"/>
  <c r="D1095" i="1"/>
  <c r="D1096" i="1"/>
  <c r="D1097" i="1"/>
  <c r="D1098" i="1"/>
  <c r="D1099" i="1"/>
  <c r="D1100" i="1"/>
  <c r="D1101" i="1"/>
  <c r="D1102" i="1"/>
  <c r="D1103" i="1"/>
  <c r="D1104" i="1"/>
  <c r="D1105" i="1"/>
  <c r="D1106" i="1"/>
  <c r="D1107" i="1"/>
  <c r="D1108" i="1"/>
  <c r="D1109" i="1"/>
  <c r="D1110" i="1"/>
  <c r="D1111" i="1"/>
  <c r="D1112" i="1"/>
  <c r="D1113" i="1"/>
  <c r="D1114" i="1"/>
  <c r="D1115" i="1"/>
  <c r="D1116" i="1"/>
  <c r="D1117" i="1"/>
  <c r="D1118" i="1"/>
  <c r="D1119" i="1"/>
  <c r="D1120" i="1"/>
  <c r="D1121" i="1"/>
  <c r="D1122" i="1"/>
  <c r="D1123" i="1"/>
  <c r="D1124" i="1"/>
  <c r="D1125" i="1"/>
  <c r="D1126" i="1"/>
  <c r="D1127" i="1"/>
  <c r="D1128" i="1"/>
  <c r="D1129" i="1"/>
  <c r="D1130" i="1"/>
  <c r="D1131" i="1"/>
  <c r="D1132" i="1"/>
  <c r="D1133" i="1"/>
  <c r="D1134" i="1"/>
  <c r="D1135" i="1"/>
  <c r="D1136" i="1"/>
  <c r="D1137" i="1"/>
  <c r="D1138" i="1"/>
  <c r="D1139" i="1"/>
  <c r="D1140" i="1"/>
  <c r="D1141" i="1"/>
  <c r="D1142" i="1"/>
  <c r="D1143" i="1"/>
  <c r="D1144" i="1"/>
  <c r="D1145" i="1"/>
  <c r="D1146" i="1"/>
  <c r="D1147" i="1"/>
  <c r="D1148" i="1"/>
  <c r="D1149" i="1"/>
  <c r="D1150" i="1"/>
  <c r="D1151" i="1"/>
  <c r="D1152" i="1"/>
  <c r="D1153" i="1"/>
  <c r="D1154" i="1"/>
  <c r="D1155" i="1"/>
  <c r="D1156" i="1"/>
  <c r="D1157" i="1"/>
  <c r="D1158" i="1"/>
  <c r="D1159" i="1"/>
  <c r="D1160" i="1"/>
  <c r="D1161" i="1"/>
  <c r="D1162" i="1"/>
  <c r="D1163" i="1"/>
  <c r="D1164" i="1"/>
  <c r="D1165" i="1"/>
  <c r="D1166" i="1"/>
  <c r="D1167" i="1"/>
  <c r="D1168" i="1"/>
  <c r="D1169" i="1"/>
  <c r="D1170" i="1"/>
  <c r="D1171" i="1"/>
  <c r="D1172" i="1"/>
  <c r="D1173" i="1"/>
  <c r="D1174" i="1"/>
  <c r="D1175" i="1"/>
  <c r="D1176" i="1"/>
  <c r="D1177" i="1"/>
  <c r="D1178" i="1"/>
  <c r="D1179" i="1"/>
  <c r="D1180" i="1"/>
  <c r="D1181" i="1"/>
  <c r="D1182" i="1"/>
  <c r="D1183" i="1"/>
  <c r="D1184" i="1"/>
  <c r="D1185" i="1"/>
  <c r="D1186" i="1"/>
  <c r="D1187" i="1"/>
  <c r="D1188" i="1"/>
  <c r="D1189" i="1"/>
  <c r="D1190" i="1"/>
  <c r="D1191" i="1"/>
  <c r="D1192" i="1"/>
  <c r="D1193" i="1"/>
  <c r="D1194" i="1"/>
  <c r="D1195" i="1"/>
  <c r="D1196" i="1"/>
  <c r="D1197" i="1"/>
  <c r="D1198" i="1"/>
  <c r="D1199" i="1"/>
  <c r="D1200" i="1"/>
  <c r="D1201" i="1"/>
  <c r="D1202" i="1"/>
  <c r="D1203" i="1"/>
  <c r="D1204" i="1"/>
  <c r="D1205" i="1"/>
  <c r="D1206" i="1"/>
  <c r="D1207" i="1"/>
  <c r="D1208" i="1"/>
  <c r="D1209" i="1"/>
  <c r="D1210" i="1"/>
  <c r="D1211" i="1"/>
  <c r="D1212" i="1"/>
  <c r="D1213" i="1"/>
  <c r="D1214" i="1"/>
  <c r="D1215" i="1"/>
  <c r="D1216" i="1"/>
  <c r="D1217" i="1"/>
  <c r="D1218" i="1"/>
  <c r="D1219" i="1"/>
  <c r="D1220" i="1"/>
  <c r="D1221" i="1"/>
  <c r="D1222" i="1"/>
  <c r="D1223" i="1"/>
  <c r="D1224" i="1"/>
  <c r="D1225" i="1"/>
  <c r="D1226" i="1"/>
  <c r="D1227" i="1"/>
  <c r="D1228" i="1"/>
  <c r="D1229" i="1"/>
  <c r="D1230" i="1"/>
  <c r="D1231" i="1"/>
  <c r="D1232" i="1"/>
  <c r="D1233" i="1"/>
  <c r="D1234" i="1"/>
  <c r="D1235" i="1"/>
  <c r="D1236" i="1"/>
  <c r="D1237" i="1"/>
  <c r="D1238" i="1"/>
  <c r="D1239" i="1"/>
  <c r="D1240" i="1"/>
  <c r="D1241" i="1"/>
  <c r="D1242" i="1"/>
  <c r="D1243" i="1"/>
  <c r="D1244" i="1"/>
  <c r="D1245" i="1"/>
  <c r="D1246" i="1"/>
  <c r="D1247" i="1"/>
  <c r="D1248" i="1"/>
  <c r="D1249" i="1"/>
  <c r="D1250" i="1"/>
  <c r="D1251" i="1"/>
  <c r="D1252" i="1"/>
  <c r="D1253" i="1"/>
  <c r="D1254" i="1"/>
  <c r="D1255" i="1"/>
  <c r="D1256" i="1"/>
  <c r="D1257" i="1"/>
  <c r="D1258" i="1"/>
  <c r="D1259" i="1"/>
  <c r="D1260" i="1"/>
  <c r="D1261" i="1"/>
  <c r="D1262" i="1"/>
  <c r="D1263" i="1"/>
  <c r="D1264" i="1"/>
  <c r="D1265" i="1"/>
  <c r="D1266" i="1"/>
  <c r="D1267" i="1"/>
  <c r="D1268" i="1"/>
  <c r="D1269" i="1"/>
  <c r="D1270" i="1"/>
  <c r="D1271" i="1"/>
  <c r="D1272" i="1"/>
  <c r="D1273" i="1"/>
  <c r="D1274" i="1"/>
  <c r="D1275" i="1"/>
  <c r="D1276" i="1"/>
  <c r="D1277" i="1"/>
  <c r="D1278" i="1"/>
  <c r="D1279" i="1"/>
  <c r="D1280" i="1"/>
  <c r="D1281" i="1"/>
  <c r="D1282" i="1"/>
  <c r="D1283" i="1"/>
  <c r="D1284" i="1"/>
  <c r="D1285" i="1"/>
  <c r="D1286" i="1"/>
  <c r="D1287" i="1"/>
  <c r="D1288" i="1"/>
  <c r="D1289" i="1"/>
  <c r="D1290" i="1"/>
  <c r="D1291" i="1"/>
  <c r="D1292" i="1"/>
  <c r="D1293" i="1"/>
  <c r="D1294" i="1"/>
  <c r="D1295" i="1"/>
  <c r="D1296" i="1"/>
  <c r="D1297" i="1"/>
  <c r="D1298" i="1"/>
  <c r="D1299" i="1"/>
  <c r="D1300" i="1"/>
  <c r="D1301" i="1"/>
  <c r="D1302" i="1"/>
  <c r="D1303" i="1"/>
  <c r="D1304" i="1"/>
  <c r="D1305" i="1"/>
  <c r="D1306" i="1"/>
  <c r="D1307" i="1"/>
  <c r="D1308" i="1"/>
  <c r="D1309" i="1"/>
  <c r="D1310" i="1"/>
  <c r="D1311" i="1"/>
  <c r="D1312" i="1"/>
  <c r="D1313" i="1"/>
  <c r="D1314" i="1"/>
  <c r="D1315" i="1"/>
  <c r="D1316" i="1"/>
  <c r="D1317" i="1"/>
  <c r="D1318" i="1"/>
  <c r="D1319" i="1"/>
  <c r="D1320" i="1"/>
  <c r="D1321" i="1"/>
  <c r="D1322" i="1"/>
  <c r="D1323" i="1"/>
  <c r="D1324" i="1"/>
  <c r="D1325" i="1"/>
  <c r="D1326" i="1"/>
  <c r="D1327" i="1"/>
  <c r="D1328" i="1"/>
  <c r="D1329" i="1"/>
  <c r="D1330" i="1"/>
  <c r="D1331" i="1"/>
  <c r="D1332" i="1"/>
  <c r="D1333" i="1"/>
  <c r="D1334" i="1"/>
  <c r="D1335" i="1"/>
  <c r="D1336" i="1"/>
  <c r="D1337" i="1"/>
  <c r="D1338" i="1"/>
  <c r="D1339" i="1"/>
  <c r="D1340" i="1"/>
  <c r="D1341" i="1"/>
  <c r="D1342" i="1"/>
  <c r="D1343" i="1"/>
  <c r="D1344" i="1"/>
  <c r="D1345" i="1"/>
  <c r="D1346" i="1"/>
  <c r="D1347" i="1"/>
  <c r="D1348" i="1"/>
  <c r="D1349" i="1"/>
  <c r="D1350" i="1"/>
  <c r="D1351" i="1"/>
  <c r="D1352" i="1"/>
  <c r="D1353" i="1"/>
  <c r="D1354" i="1"/>
  <c r="D1355" i="1"/>
  <c r="D1356" i="1"/>
  <c r="D1357" i="1"/>
  <c r="D1358" i="1"/>
  <c r="D1359" i="1"/>
  <c r="D1360" i="1"/>
  <c r="D1361" i="1"/>
  <c r="D1362" i="1"/>
  <c r="D1363" i="1"/>
  <c r="D1364" i="1"/>
  <c r="D1365" i="1"/>
  <c r="D1366" i="1"/>
  <c r="D1367" i="1"/>
  <c r="D1368" i="1"/>
  <c r="D1369" i="1"/>
  <c r="D1370" i="1"/>
  <c r="D1371" i="1"/>
  <c r="D1372" i="1"/>
  <c r="D1373" i="1"/>
  <c r="D1374" i="1"/>
  <c r="D1375" i="1"/>
  <c r="D1376" i="1"/>
  <c r="D1377" i="1"/>
  <c r="D1378" i="1"/>
  <c r="D1379" i="1"/>
  <c r="D1380" i="1"/>
  <c r="D1381" i="1"/>
  <c r="D1382" i="1"/>
  <c r="D1383" i="1"/>
  <c r="D1384" i="1"/>
  <c r="D1385" i="1"/>
  <c r="D1386" i="1"/>
  <c r="D1387" i="1"/>
  <c r="D1388" i="1"/>
  <c r="D1389" i="1"/>
  <c r="D1390" i="1"/>
  <c r="D1391" i="1"/>
  <c r="D1392" i="1"/>
  <c r="D1393" i="1"/>
  <c r="D1394" i="1"/>
  <c r="D1395" i="1"/>
  <c r="D1396" i="1"/>
  <c r="D1397" i="1"/>
  <c r="D1398" i="1"/>
  <c r="D1399" i="1"/>
  <c r="D1400" i="1"/>
  <c r="D1401" i="1"/>
  <c r="D1402" i="1"/>
  <c r="D1403" i="1"/>
  <c r="D1404" i="1"/>
  <c r="D1405" i="1"/>
  <c r="D1406" i="1"/>
  <c r="D1407" i="1"/>
  <c r="D1408" i="1"/>
  <c r="D1409" i="1"/>
  <c r="D1410" i="1"/>
  <c r="D1411" i="1"/>
  <c r="D1412" i="1"/>
  <c r="D1413" i="1"/>
  <c r="D1414" i="1"/>
  <c r="D1415" i="1"/>
  <c r="D1416" i="1"/>
  <c r="D1417" i="1"/>
  <c r="D1418" i="1"/>
  <c r="D1419" i="1"/>
  <c r="D1420" i="1"/>
  <c r="D1421" i="1"/>
  <c r="D1422" i="1"/>
  <c r="D1423" i="1"/>
  <c r="D1424" i="1"/>
  <c r="D1425" i="1"/>
  <c r="D1426" i="1"/>
  <c r="D1427" i="1"/>
  <c r="D1428" i="1"/>
  <c r="D1429" i="1"/>
  <c r="D1430" i="1"/>
  <c r="D1431" i="1"/>
  <c r="D1432" i="1"/>
  <c r="D1433" i="1"/>
  <c r="D1434" i="1"/>
  <c r="D1435" i="1"/>
  <c r="D1436" i="1"/>
  <c r="D1437" i="1"/>
  <c r="D1438" i="1"/>
  <c r="D1439" i="1"/>
  <c r="D1440" i="1"/>
  <c r="D1441" i="1"/>
  <c r="D1442" i="1"/>
  <c r="D1443" i="1"/>
  <c r="D1444" i="1"/>
  <c r="D1445" i="1"/>
  <c r="D1446" i="1"/>
  <c r="D1447" i="1"/>
  <c r="D1448" i="1"/>
  <c r="D1449" i="1"/>
  <c r="D1450" i="1"/>
  <c r="D1451" i="1"/>
  <c r="D1452" i="1"/>
  <c r="D1453" i="1"/>
  <c r="D1454" i="1"/>
  <c r="D1455" i="1"/>
  <c r="D1456" i="1"/>
  <c r="D1457" i="1"/>
  <c r="D1458" i="1"/>
  <c r="D1459" i="1"/>
  <c r="D1460" i="1"/>
  <c r="D1461" i="1"/>
  <c r="D1462" i="1"/>
  <c r="D1463" i="1"/>
  <c r="D1464" i="1"/>
  <c r="D1465" i="1"/>
  <c r="D1466" i="1"/>
  <c r="D1467" i="1"/>
  <c r="D1468" i="1"/>
  <c r="D1469" i="1"/>
  <c r="D1470" i="1"/>
  <c r="D1471" i="1"/>
  <c r="D1472" i="1"/>
  <c r="D1473" i="1"/>
  <c r="D1474" i="1"/>
  <c r="D1475" i="1"/>
  <c r="D1476" i="1"/>
  <c r="D1477" i="1"/>
  <c r="D1478" i="1"/>
  <c r="D1479" i="1"/>
  <c r="D1480" i="1"/>
  <c r="D1481" i="1"/>
  <c r="D1482" i="1"/>
  <c r="D1483" i="1"/>
  <c r="D1484" i="1"/>
  <c r="D1485" i="1"/>
  <c r="D1486" i="1"/>
  <c r="D1487" i="1"/>
  <c r="D1488" i="1"/>
  <c r="D1489" i="1"/>
  <c r="D1490" i="1"/>
  <c r="D1491" i="1"/>
  <c r="D1492" i="1"/>
  <c r="D1493" i="1"/>
  <c r="D1494" i="1"/>
  <c r="D1495" i="1"/>
  <c r="D1496" i="1"/>
  <c r="D1497" i="1"/>
  <c r="D1498" i="1"/>
  <c r="D1499" i="1"/>
  <c r="D1500" i="1"/>
  <c r="D1501" i="1"/>
  <c r="D1502" i="1"/>
  <c r="D1503" i="1"/>
  <c r="D1504" i="1"/>
  <c r="D1505" i="1"/>
  <c r="D1506" i="1"/>
  <c r="D1507" i="1"/>
  <c r="D1508" i="1"/>
  <c r="D1509" i="1"/>
  <c r="D1510" i="1"/>
  <c r="D1511" i="1"/>
  <c r="D1512" i="1"/>
  <c r="D1513" i="1"/>
  <c r="D1514" i="1"/>
  <c r="D1515" i="1"/>
  <c r="D1516" i="1"/>
  <c r="D1517" i="1"/>
  <c r="D1518" i="1"/>
  <c r="D1519" i="1"/>
  <c r="D1520" i="1"/>
  <c r="D1521" i="1"/>
  <c r="D1522" i="1"/>
  <c r="D1523" i="1"/>
  <c r="D1524" i="1"/>
  <c r="D1525" i="1"/>
  <c r="D1526" i="1"/>
  <c r="D1527" i="1"/>
  <c r="D1528" i="1"/>
  <c r="D1529" i="1"/>
  <c r="D1530" i="1"/>
  <c r="D1531" i="1"/>
  <c r="D1532" i="1"/>
  <c r="D1533" i="1"/>
  <c r="D1534" i="1"/>
  <c r="D1535" i="1"/>
  <c r="D1536" i="1"/>
  <c r="D1537" i="1"/>
  <c r="D1538" i="1"/>
  <c r="D1539" i="1"/>
  <c r="D1540" i="1"/>
  <c r="D1541" i="1"/>
  <c r="D1542" i="1"/>
  <c r="D1543" i="1"/>
  <c r="D1544" i="1"/>
  <c r="D1545" i="1"/>
  <c r="D1546" i="1"/>
  <c r="D1547" i="1"/>
  <c r="D1548" i="1"/>
  <c r="D1549" i="1"/>
  <c r="D1550" i="1"/>
  <c r="D1551" i="1"/>
  <c r="D1552" i="1"/>
  <c r="D1553" i="1"/>
  <c r="D1554" i="1"/>
  <c r="D1555" i="1"/>
  <c r="D1556" i="1"/>
  <c r="D1557" i="1"/>
  <c r="D1558" i="1"/>
  <c r="D1559" i="1"/>
  <c r="D1560" i="1"/>
  <c r="D1561" i="1"/>
  <c r="D1562" i="1"/>
  <c r="D1563" i="1"/>
  <c r="D1564" i="1"/>
  <c r="D1565" i="1"/>
  <c r="D1566" i="1"/>
  <c r="D1567" i="1"/>
  <c r="D1568" i="1"/>
  <c r="D1569" i="1"/>
  <c r="D1570" i="1"/>
  <c r="D1571" i="1"/>
  <c r="D1572" i="1"/>
  <c r="D1573" i="1"/>
  <c r="D1574" i="1"/>
  <c r="D1575" i="1"/>
  <c r="D1576" i="1"/>
  <c r="D1577" i="1"/>
  <c r="D1578" i="1"/>
  <c r="D1579" i="1"/>
  <c r="D1580" i="1"/>
  <c r="D1581" i="1"/>
  <c r="D1582" i="1"/>
  <c r="D1583" i="1"/>
  <c r="D1584" i="1"/>
  <c r="D1585" i="1"/>
  <c r="D1586" i="1"/>
  <c r="D1587" i="1"/>
  <c r="D1588" i="1"/>
  <c r="D1589" i="1"/>
  <c r="D1590" i="1"/>
  <c r="D1591" i="1"/>
  <c r="D1592" i="1"/>
  <c r="D1593" i="1"/>
  <c r="D1594" i="1"/>
  <c r="D1595" i="1"/>
  <c r="D1596" i="1"/>
  <c r="D1597" i="1"/>
  <c r="D1598" i="1"/>
  <c r="D1599" i="1"/>
  <c r="D1600" i="1"/>
  <c r="D1601" i="1"/>
  <c r="D1602" i="1"/>
  <c r="D1603" i="1"/>
  <c r="D1604" i="1"/>
  <c r="D1605" i="1"/>
  <c r="D1606" i="1"/>
  <c r="D1607" i="1"/>
  <c r="D1608" i="1"/>
  <c r="D1609" i="1"/>
  <c r="D1610" i="1"/>
  <c r="D1611" i="1"/>
  <c r="D1612" i="1"/>
  <c r="D1613" i="1"/>
  <c r="D1614" i="1"/>
  <c r="D1615" i="1"/>
  <c r="D1616" i="1"/>
  <c r="D1617" i="1"/>
  <c r="D1618" i="1"/>
  <c r="D1619" i="1"/>
  <c r="D1620" i="1"/>
  <c r="D1621" i="1"/>
  <c r="D1622" i="1"/>
  <c r="D1623" i="1"/>
  <c r="D1624" i="1"/>
  <c r="D1625" i="1"/>
  <c r="D1626" i="1"/>
  <c r="D1627" i="1"/>
  <c r="D1628" i="1"/>
  <c r="D1629" i="1"/>
  <c r="D1630" i="1"/>
  <c r="D1631" i="1"/>
  <c r="D1632" i="1"/>
  <c r="D1633" i="1"/>
  <c r="D1634" i="1"/>
  <c r="D1635" i="1"/>
  <c r="D1636" i="1"/>
  <c r="D1637" i="1"/>
  <c r="D1638" i="1"/>
  <c r="D1639" i="1"/>
  <c r="D1640" i="1"/>
  <c r="D1641" i="1"/>
  <c r="D1642" i="1"/>
  <c r="D1643" i="1"/>
  <c r="D1644" i="1"/>
  <c r="D1645" i="1"/>
  <c r="D1646" i="1"/>
  <c r="D1647" i="1"/>
  <c r="D1648" i="1"/>
  <c r="D1649" i="1"/>
  <c r="D1650" i="1"/>
  <c r="D1651" i="1"/>
  <c r="D1652" i="1"/>
  <c r="D1653" i="1"/>
  <c r="D1654" i="1"/>
  <c r="D1655" i="1"/>
  <c r="D1656" i="1"/>
  <c r="D1657" i="1"/>
  <c r="D1658" i="1"/>
  <c r="D1659" i="1"/>
  <c r="D1660"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酒井啓輔</author>
  </authors>
  <commentList>
    <comment ref="A1" authorId="0" shapeId="0" xr:uid="{9F88E6A0-7327-48A9-9109-60BAF4C914D8}">
      <text>
        <r>
          <rPr>
            <b/>
            <sz val="9"/>
            <color indexed="81"/>
            <rFont val="MS P ゴシック"/>
            <family val="3"/>
            <charset val="128"/>
          </rPr>
          <t>酒井啓輔:</t>
        </r>
        <r>
          <rPr>
            <sz val="9"/>
            <color indexed="81"/>
            <rFont val="MS P ゴシック"/>
            <family val="3"/>
            <charset val="128"/>
          </rPr>
          <t xml:space="preserve">
mail:penguin22231@gmail.com
pass:chofusai
</t>
        </r>
      </text>
    </comment>
  </commentList>
</comments>
</file>

<file path=xl/sharedStrings.xml><?xml version="1.0" encoding="utf-8"?>
<sst xmlns="http://schemas.openxmlformats.org/spreadsheetml/2006/main" count="41" uniqueCount="39">
  <si>
    <t>団体一覧</t>
    <rPh sb="0" eb="2">
      <t>ダンタイ</t>
    </rPh>
    <rPh sb="2" eb="4">
      <t>イチラン</t>
    </rPh>
    <phoneticPr fontId="2"/>
  </si>
  <si>
    <t>資材局</t>
    <rPh sb="0" eb="2">
      <t>シザイ</t>
    </rPh>
    <rPh sb="2" eb="3">
      <t>キョク</t>
    </rPh>
    <phoneticPr fontId="2"/>
  </si>
  <si>
    <t>局</t>
    <rPh sb="0" eb="1">
      <t>キョク</t>
    </rPh>
    <phoneticPr fontId="2"/>
  </si>
  <si>
    <t>分別</t>
    <rPh sb="0" eb="2">
      <t>ブンベツ</t>
    </rPh>
    <phoneticPr fontId="2"/>
  </si>
  <si>
    <t>金額</t>
    <rPh sb="0" eb="2">
      <t>キンガク</t>
    </rPh>
    <phoneticPr fontId="2"/>
  </si>
  <si>
    <t>団体名</t>
    <rPh sb="0" eb="2">
      <t>ダンタイ</t>
    </rPh>
    <rPh sb="2" eb="3">
      <t>メイ</t>
    </rPh>
    <phoneticPr fontId="2"/>
  </si>
  <si>
    <t>単価</t>
    <rPh sb="0" eb="2">
      <t>タンカ</t>
    </rPh>
    <phoneticPr fontId="2"/>
  </si>
  <si>
    <t>個数</t>
    <rPh sb="0" eb="2">
      <t>コスウ</t>
    </rPh>
    <phoneticPr fontId="2"/>
  </si>
  <si>
    <t>請求書</t>
  </si>
  <si>
    <t>数量</t>
  </si>
  <si>
    <t>説明</t>
  </si>
  <si>
    <t>団体ID</t>
    <rPh sb="0" eb="2">
      <t>ダンタイ</t>
    </rPh>
    <phoneticPr fontId="2"/>
  </si>
  <si>
    <t>分別ID</t>
    <rPh sb="0" eb="2">
      <t>ブンベツ</t>
    </rPh>
    <phoneticPr fontId="2"/>
  </si>
  <si>
    <t>分別ID</t>
    <rPh sb="0" eb="2">
      <t>ブンベツ</t>
    </rPh>
    <phoneticPr fontId="2"/>
  </si>
  <si>
    <t>団体ID</t>
    <rPh sb="0" eb="2">
      <t>ダンタイ</t>
    </rPh>
    <phoneticPr fontId="2"/>
  </si>
  <si>
    <t>管轄局</t>
    <rPh sb="0" eb="2">
      <t>カンカツ</t>
    </rPh>
    <rPh sb="2" eb="3">
      <t>キョク</t>
    </rPh>
    <phoneticPr fontId="2"/>
  </si>
  <si>
    <t>単価(税込)</t>
    <rPh sb="0" eb="2">
      <t>タンカ</t>
    </rPh>
    <rPh sb="3" eb="5">
      <t>ゼイコ</t>
    </rPh>
    <phoneticPr fontId="2"/>
  </si>
  <si>
    <t>個数</t>
    <rPh sb="0" eb="2">
      <t>コスウ</t>
    </rPh>
    <phoneticPr fontId="2"/>
  </si>
  <si>
    <t>その他質問等ございましたらご連絡ください</t>
    <rPh sb="2" eb="3">
      <t>タ</t>
    </rPh>
    <rPh sb="3" eb="5">
      <t>シツモン</t>
    </rPh>
    <rPh sb="5" eb="6">
      <t>ナド</t>
    </rPh>
    <rPh sb="14" eb="16">
      <t>レンラク</t>
    </rPh>
    <phoneticPr fontId="2"/>
  </si>
  <si>
    <t>Tel:042-498-1109</t>
    <phoneticPr fontId="2"/>
  </si>
  <si>
    <t>〒182-8585 東京都調布市調布ヶ丘1－5－1</t>
    <rPh sb="10" eb="13">
      <t>トウキョウト</t>
    </rPh>
    <rPh sb="13" eb="16">
      <t>チョウフシ</t>
    </rPh>
    <rPh sb="16" eb="20">
      <t>チョウフガオカ</t>
    </rPh>
    <phoneticPr fontId="2"/>
  </si>
  <si>
    <t>コピーして使ってね</t>
    <rPh sb="5" eb="6">
      <t>ツカ</t>
    </rPh>
    <phoneticPr fontId="2"/>
  </si>
  <si>
    <t>ご請求金額</t>
    <rPh sb="1" eb="3">
      <t>セイキュウ</t>
    </rPh>
    <rPh sb="3" eb="5">
      <t>キンガク</t>
    </rPh>
    <phoneticPr fontId="2"/>
  </si>
  <si>
    <t>百花繚乱</t>
    <rPh sb="0" eb="4">
      <t>ヒャッカリョウラン</t>
    </rPh>
    <phoneticPr fontId="2"/>
  </si>
  <si>
    <t>合計</t>
    <rPh sb="0" eb="2">
      <t>ゴウケイ</t>
    </rPh>
    <phoneticPr fontId="2"/>
  </si>
  <si>
    <t>団体名</t>
    <rPh sb="0" eb="2">
      <t>ダンタイ</t>
    </rPh>
    <rPh sb="2" eb="3">
      <t>メイ</t>
    </rPh>
    <phoneticPr fontId="2"/>
  </si>
  <si>
    <t>価格</t>
    <rPh sb="0" eb="2">
      <t>カカク</t>
    </rPh>
    <phoneticPr fontId="2"/>
  </si>
  <si>
    <t>単価(税込)</t>
    <rPh sb="3" eb="5">
      <t>ゼイコ</t>
    </rPh>
    <phoneticPr fontId="2"/>
  </si>
  <si>
    <t>C\請求書に格納される</t>
    <rPh sb="2" eb="5">
      <t>セイキュウショ</t>
    </rPh>
    <rPh sb="6" eb="8">
      <t>カクノウ</t>
    </rPh>
    <phoneticPr fontId="2"/>
  </si>
  <si>
    <t>マクロ実行時に他のエクセルファイルを開いているとバグが起こります</t>
    <rPh sb="3" eb="5">
      <t>ジッコウ</t>
    </rPh>
    <rPh sb="5" eb="6">
      <t>ジ</t>
    </rPh>
    <rPh sb="7" eb="8">
      <t>ホカ</t>
    </rPh>
    <rPh sb="18" eb="19">
      <t>ヒラ</t>
    </rPh>
    <rPh sb="27" eb="28">
      <t>オ</t>
    </rPh>
    <phoneticPr fontId="2"/>
  </si>
  <si>
    <t>ステージ局</t>
    <rPh sb="4" eb="5">
      <t>キョク</t>
    </rPh>
    <phoneticPr fontId="2"/>
  </si>
  <si>
    <t>企業A</t>
    <rPh sb="0" eb="2">
      <t>キギョウ</t>
    </rPh>
    <phoneticPr fontId="2"/>
  </si>
  <si>
    <t>企業B</t>
    <rPh sb="0" eb="2">
      <t>キギョウ</t>
    </rPh>
    <phoneticPr fontId="1"/>
  </si>
  <si>
    <t>企業C</t>
    <rPh sb="0" eb="2">
      <t>キギョウ</t>
    </rPh>
    <phoneticPr fontId="1"/>
  </si>
  <si>
    <t>電気通信大学</t>
    <rPh sb="0" eb="2">
      <t>デンキ</t>
    </rPh>
    <rPh sb="2" eb="4">
      <t>ツウシン</t>
    </rPh>
    <rPh sb="4" eb="6">
      <t>ダイガク</t>
    </rPh>
    <phoneticPr fontId="2"/>
  </si>
  <si>
    <t>hogehoge銀行　普通口座　八一〇店　114514へ　8月10日(水)　までにお振込みください。</t>
    <rPh sb="8" eb="10">
      <t>ギンコウ</t>
    </rPh>
    <rPh sb="11" eb="13">
      <t>フツウ</t>
    </rPh>
    <rPh sb="13" eb="15">
      <t>コウザ</t>
    </rPh>
    <rPh sb="16" eb="19">
      <t>８１０</t>
    </rPh>
    <rPh sb="19" eb="20">
      <t>テン</t>
    </rPh>
    <rPh sb="30" eb="31">
      <t>ガツ</t>
    </rPh>
    <rPh sb="33" eb="34">
      <t>ニチ</t>
    </rPh>
    <rPh sb="35" eb="36">
      <t>スイ</t>
    </rPh>
    <rPh sb="42" eb="44">
      <t>フリコ</t>
    </rPh>
    <phoneticPr fontId="2"/>
  </si>
  <si>
    <t>商品A</t>
    <rPh sb="0" eb="2">
      <t>ショウヒン</t>
    </rPh>
    <phoneticPr fontId="2"/>
  </si>
  <si>
    <t>商品B</t>
    <rPh sb="0" eb="2">
      <t>ショウヒン</t>
    </rPh>
    <phoneticPr fontId="2"/>
  </si>
  <si>
    <t>商品C</t>
    <rPh sb="0" eb="2">
      <t>ショウヒン</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</si>
</sst>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6" formatCode="&quot;¥&quot;#,##0;[Red]&quot;¥&quot;\-#,##0"/>
    <numFmt numFmtId="8" formatCode="&quot;¥&quot;#,##0.00;[Red]&quot;¥&quot;\-#,##0.00"/>
    <numFmt numFmtId="44" formatCode="_ &quot;¥&quot;* #,##0.00_ ;_ &quot;¥&quot;* \-#,##0.00_ ;_ &quot;¥&quot;* &quot;-&quot;??_ ;_ @_ "/>
    <numFmt numFmtId="176" formatCode="[&lt;=99999999]####\-####;\(00\)\ ####\-####"/>
    <numFmt numFmtId="177" formatCode="&quot;¥&quot;#,##0_);[Red]\(&quot;¥&quot;#,##0\)"/>
  </numFmts>
  <fonts count="29">
    <font>
      <sz val="11"/>
      <color theme="1"/>
      <name val="ＭＳ Ｐゴシック"/>
      <family val="2"/>
      <charset val="128"/>
      <scheme val="minor"/>
    </font>
    <font>
      <sz val="11"/>
      <color theme="1"/>
      <name val="ＭＳ Ｐゴシック"/>
      <family val="2"/>
      <charset val="128"/>
      <scheme val="minor"/>
    </font>
    <font>
      <sz val="6"/>
      <name val="ＭＳ Ｐゴシック"/>
      <family val="2"/>
      <charset val="128"/>
      <scheme val="minor"/>
    </font>
    <font>
      <sz val="18"/>
      <color theme="3"/>
      <name val="ＭＳ Ｐゴシック"/>
      <family val="2"/>
      <charset val="128"/>
      <scheme val="major"/>
    </font>
    <font>
      <b/>
      <sz val="15"/>
      <color theme="3"/>
      <name val="ＭＳ Ｐゴシック"/>
      <family val="2"/>
      <charset val="128"/>
      <scheme val="minor"/>
    </font>
    <font>
      <b/>
      <sz val="13"/>
      <color theme="3"/>
      <name val="ＭＳ Ｐゴシック"/>
      <family val="2"/>
      <charset val="128"/>
      <scheme val="minor"/>
    </font>
    <font>
      <b/>
      <sz val="11"/>
      <color theme="3"/>
      <name val="ＭＳ Ｐゴシック"/>
      <family val="2"/>
      <charset val="128"/>
      <scheme val="minor"/>
    </font>
    <font>
      <b/>
      <sz val="11"/>
      <color theme="0"/>
      <name val="ＭＳ Ｐゴシック"/>
      <family val="2"/>
      <charset val="128"/>
      <scheme val="minor"/>
    </font>
    <font>
      <i/>
      <sz val="11"/>
      <color rgb="FF7F7F7F"/>
      <name val="ＭＳ Ｐゴシック"/>
      <family val="2"/>
      <charset val="128"/>
      <scheme val="minor"/>
    </font>
    <font>
      <b/>
      <sz val="11"/>
      <color theme="1"/>
      <name val="ＭＳ Ｐゴシック"/>
      <family val="2"/>
      <charset val="128"/>
      <scheme val="minor"/>
    </font>
    <font>
      <sz val="11"/>
      <color rgb="FF000000"/>
      <name val="MS PGothic"/>
      <family val="3"/>
      <charset val="128"/>
    </font>
    <font>
      <sz val="11"/>
      <color theme="1"/>
      <name val="Times New Roman"/>
      <family val="1"/>
    </font>
    <font>
      <sz val="12"/>
      <color theme="1"/>
      <name val="Times New Roman"/>
      <family val="1"/>
    </font>
    <font>
      <sz val="11"/>
      <color rgb="FF000000"/>
      <name val="Times New Roman"/>
      <family val="1"/>
    </font>
    <font>
      <sz val="11"/>
      <color theme="1"/>
      <name val="游ゴシック"/>
      <family val="3"/>
      <charset val="128"/>
    </font>
    <font>
      <sz val="11"/>
      <color rgb="FF000000"/>
      <name val="游ゴシック"/>
      <family val="3"/>
      <charset val="128"/>
    </font>
    <font>
      <b/>
      <sz val="11"/>
      <color theme="0"/>
      <name val="游ゴシック"/>
      <family val="3"/>
      <charset val="128"/>
    </font>
    <font>
      <sz val="11"/>
      <color theme="3" tint="-0.24994659260841701"/>
      <name val="Meiryo UI"/>
      <family val="3"/>
      <charset val="128"/>
    </font>
    <font>
      <sz val="11"/>
      <color rgb="FF006100"/>
      <name val="ＭＳ Ｐゴシック"/>
      <family val="2"/>
      <charset val="128"/>
      <scheme val="minor"/>
    </font>
    <font>
      <b/>
      <sz val="18"/>
      <color theme="1"/>
      <name val="Meiryo UI"/>
      <family val="3"/>
      <charset val="128"/>
    </font>
    <font>
      <sz val="36"/>
      <name val="Meiryo UI"/>
      <family val="3"/>
      <charset val="128"/>
    </font>
    <font>
      <sz val="12"/>
      <name val="Meiryo UI"/>
      <family val="3"/>
      <charset val="128"/>
    </font>
    <font>
      <i/>
      <sz val="20"/>
      <color theme="3" tint="-0.24994659260841701"/>
      <name val="Meiryo UI"/>
      <family val="3"/>
      <charset val="128"/>
    </font>
    <font>
      <i/>
      <sz val="26"/>
      <name val="青柳疎石フォント2"/>
      <family val="3"/>
      <charset val="128"/>
    </font>
    <font>
      <sz val="11"/>
      <name val="Meiryo UI"/>
      <family val="3"/>
      <charset val="128"/>
    </font>
    <font>
      <b/>
      <sz val="11"/>
      <name val="Meiryo UI"/>
      <family val="3"/>
      <charset val="128"/>
    </font>
    <font>
      <sz val="18"/>
      <color theme="1"/>
      <name val="Meiryo UI"/>
      <family val="3"/>
      <charset val="128"/>
    </font>
    <font>
      <sz val="9"/>
      <color indexed="81"/>
      <name val="MS P ゴシック"/>
      <family val="3"/>
      <charset val="128"/>
    </font>
    <font>
      <b/>
      <sz val="9"/>
      <color indexed="81"/>
      <name val="MS P ゴシック"/>
      <family val="3"/>
      <charset val="128"/>
    </font>
  </fonts>
  <fills count="8">
    <fill>
      <patternFill patternType="none"/>
    </fill>
    <fill>
      <patternFill patternType="gray125"/>
    </fill>
    <fill>
      <patternFill patternType="solid">
        <fgColor rgb="FFFFFFCC"/>
      </patternFill>
    </fill>
    <fill>
      <patternFill patternType="solid">
        <fgColor theme="4" tint="0.79998168889431442"/>
        <bgColor indexed="65"/>
      </patternFill>
    </fill>
    <fill>
      <patternFill patternType="solid">
        <fgColor theme="4"/>
        <bgColor theme="4"/>
      </patternFill>
    </fill>
    <fill>
      <patternFill patternType="solid">
        <fgColor theme="4" tint="0.79998168889431442"/>
        <bgColor theme="4" tint="0.79998168889431442"/>
      </patternFill>
    </fill>
    <fill>
      <patternFill patternType="solid">
        <fgColor rgb="FFC6EFCE"/>
      </patternFill>
    </fill>
    <fill>
      <patternFill patternType="solid">
        <fgColor rgb="FFA5A5A5"/>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auto="1"/>
      </left>
      <right/>
      <top style="thin">
        <color auto="1"/>
      </top>
      <bottom style="thin">
        <color auto="1"/>
      </bottom>
      <diagonal/>
    </border>
    <border>
      <left style="thin">
        <color auto="1"/>
      </left>
      <right/>
      <top style="thin">
        <color auto="1"/>
      </top>
      <bottom/>
      <diagonal/>
    </border>
    <border>
      <left style="thin">
        <color theme="4" tint="0.39997558519241921"/>
      </left>
      <right/>
      <top style="thin">
        <color theme="4" tint="0.39997558519241921"/>
      </top>
      <bottom/>
      <diagonal/>
    </border>
    <border>
      <left style="thin">
        <color theme="4" tint="0.39997558519241921"/>
      </left>
      <right/>
      <top style="thin">
        <color theme="4" tint="0.39997558519241921"/>
      </top>
      <bottom style="thin">
        <color theme="4" tint="0.39997558519241921"/>
      </bottom>
      <diagonal/>
    </border>
    <border>
      <left style="double">
        <color rgb="FF3F3F3F"/>
      </left>
      <right style="double">
        <color rgb="FF3F3F3F"/>
      </right>
      <top style="double">
        <color rgb="FF3F3F3F"/>
      </top>
      <bottom style="double">
        <color rgb="FF3F3F3F"/>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right style="thin">
        <color auto="1"/>
      </right>
      <top/>
      <bottom style="thin">
        <color auto="1"/>
      </bottom>
      <diagonal/>
    </border>
    <border>
      <left/>
      <right style="thin">
        <color auto="1"/>
      </right>
      <top style="thin">
        <color auto="1"/>
      </top>
      <bottom style="thin">
        <color auto="1"/>
      </bottom>
      <diagonal/>
    </border>
    <border>
      <left style="thin">
        <color auto="1"/>
      </left>
      <right style="thick">
        <color auto="1"/>
      </right>
      <top/>
      <bottom style="thin">
        <color auto="1"/>
      </bottom>
      <diagonal/>
    </border>
    <border>
      <left style="thin">
        <color auto="1"/>
      </left>
      <right style="thick">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ck">
        <color auto="1"/>
      </right>
      <top style="thin">
        <color auto="1"/>
      </top>
      <bottom/>
      <diagonal/>
    </border>
    <border>
      <left/>
      <right style="thin">
        <color auto="1"/>
      </right>
      <top style="thin">
        <color auto="1"/>
      </top>
      <bottom/>
      <diagonal/>
    </border>
    <border>
      <left/>
      <right/>
      <top/>
      <bottom style="thin">
        <color indexed="64"/>
      </bottom>
      <diagonal/>
    </border>
    <border>
      <left/>
      <right/>
      <top style="thin">
        <color indexed="64"/>
      </top>
      <bottom style="medium">
        <color indexed="64"/>
      </bottom>
      <diagonal/>
    </border>
    <border>
      <left style="thin">
        <color indexed="64"/>
      </left>
      <right style="thin">
        <color rgb="FFB2B2B2"/>
      </right>
      <top style="thin">
        <color indexed="64"/>
      </top>
      <bottom style="thin">
        <color indexed="64"/>
      </bottom>
      <diagonal/>
    </border>
    <border>
      <left style="thin">
        <color rgb="FFB2B2B2"/>
      </left>
      <right style="thin">
        <color rgb="FFB2B2B2"/>
      </right>
      <top style="thin">
        <color indexed="64"/>
      </top>
      <bottom style="thin">
        <color indexed="64"/>
      </bottom>
      <diagonal/>
    </border>
    <border>
      <left style="thin">
        <color rgb="FFB2B2B2"/>
      </left>
      <right style="thin">
        <color indexed="64"/>
      </right>
      <top style="thin">
        <color indexed="64"/>
      </top>
      <bottom style="thin">
        <color indexed="64"/>
      </bottom>
      <diagonal/>
    </border>
    <border>
      <left/>
      <right/>
      <top/>
      <bottom style="medium">
        <color indexed="64"/>
      </bottom>
      <diagonal/>
    </border>
  </borders>
  <cellStyleXfs count="19">
    <xf numFmtId="0" fontId="0" fillId="0" borderId="0">
      <alignment vertical="center"/>
    </xf>
    <xf numFmtId="8" fontId="1" fillId="0" borderId="0" applyFont="0" applyFill="0" applyBorder="0" applyAlignment="0" applyProtection="0">
      <alignment vertical="center"/>
    </xf>
    <xf numFmtId="6" fontId="1" fillId="0" borderId="0" applyFont="0" applyFill="0" applyBorder="0" applyAlignment="0" applyProtection="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1" fillId="2" borderId="4" applyNumberFormat="0" applyFont="0" applyAlignment="0" applyProtection="0">
      <alignment vertical="center"/>
    </xf>
    <xf numFmtId="0" fontId="8" fillId="0" borderId="0" applyNumberFormat="0" applyFill="0" applyBorder="0" applyAlignment="0" applyProtection="0">
      <alignment vertical="center"/>
    </xf>
    <xf numFmtId="0" fontId="9" fillId="0" borderId="5" applyNumberFormat="0" applyFill="0" applyAlignment="0" applyProtection="0">
      <alignment vertical="center"/>
    </xf>
    <xf numFmtId="0" fontId="1" fillId="3" borderId="0" applyNumberFormat="0" applyBorder="0" applyAlignment="0" applyProtection="0">
      <alignment vertical="center"/>
    </xf>
    <xf numFmtId="0" fontId="10" fillId="0" borderId="0"/>
    <xf numFmtId="6" fontId="10" fillId="0" borderId="0" applyFont="0" applyFill="0" applyBorder="0" applyAlignment="0" applyProtection="0"/>
    <xf numFmtId="14" fontId="17" fillId="0" borderId="0" applyFont="0" applyFill="0" applyBorder="0">
      <alignment horizontal="left"/>
    </xf>
    <xf numFmtId="176" fontId="17" fillId="0" borderId="0" applyFont="0" applyFill="0" applyBorder="0">
      <alignment horizontal="left" vertical="top" wrapText="1"/>
    </xf>
    <xf numFmtId="0" fontId="17" fillId="0" borderId="0" applyNumberFormat="0" applyFont="0" applyFill="0" applyBorder="0">
      <alignment horizontal="right" vertical="center" wrapText="1"/>
    </xf>
    <xf numFmtId="0" fontId="18" fillId="6" borderId="0" applyNumberFormat="0" applyBorder="0" applyAlignment="0" applyProtection="0">
      <alignment vertical="center"/>
    </xf>
    <xf numFmtId="0" fontId="7" fillId="7" borderId="10" applyNumberFormat="0" applyAlignment="0" applyProtection="0">
      <alignment vertical="center"/>
    </xf>
  </cellStyleXfs>
  <cellXfs count="73">
    <xf numFmtId="0" fontId="0" fillId="0" borderId="0" xfId="0">
      <alignment vertical="center"/>
    </xf>
    <xf numFmtId="0" fontId="17" fillId="0" borderId="0" xfId="0" applyFont="1" applyAlignment="1">
      <alignment horizontal="left" wrapText="1"/>
    </xf>
    <xf numFmtId="0" fontId="17" fillId="0" borderId="0" xfId="0" applyFont="1" applyAlignment="1">
      <alignment horizontal="left" wrapText="1"/>
    </xf>
    <xf numFmtId="0" fontId="7" fillId="4" borderId="8" xfId="0" applyFont="1" applyFill="1" applyBorder="1">
      <alignment vertical="center"/>
    </xf>
    <xf numFmtId="0" fontId="0" fillId="5" borderId="8" xfId="0" applyFont="1" applyFill="1" applyBorder="1">
      <alignment vertical="center"/>
    </xf>
    <xf numFmtId="0" fontId="0" fillId="0" borderId="8" xfId="0" applyFont="1" applyBorder="1">
      <alignment vertical="center"/>
    </xf>
    <xf numFmtId="0" fontId="0" fillId="5" borderId="9" xfId="0" applyFont="1" applyFill="1" applyBorder="1">
      <alignment vertical="center"/>
    </xf>
    <xf numFmtId="0" fontId="16" fillId="4" borderId="7" xfId="0" applyFont="1" applyFill="1" applyBorder="1">
      <alignment vertical="center"/>
    </xf>
    <xf numFmtId="0" fontId="14" fillId="5" borderId="7" xfId="0" applyFont="1" applyFill="1" applyBorder="1">
      <alignment vertical="center"/>
    </xf>
    <xf numFmtId="0" fontId="14" fillId="0" borderId="7" xfId="0" applyFont="1" applyBorder="1">
      <alignment vertical="center"/>
    </xf>
    <xf numFmtId="0" fontId="15" fillId="0" borderId="7" xfId="12" applyNumberFormat="1" applyFont="1" applyBorder="1" applyAlignment="1">
      <alignment vertical="center"/>
    </xf>
    <xf numFmtId="0" fontId="15" fillId="5" borderId="7" xfId="12" applyNumberFormat="1" applyFont="1" applyFill="1" applyBorder="1" applyAlignment="1">
      <alignment vertical="center"/>
    </xf>
    <xf numFmtId="0" fontId="15" fillId="0" borderId="7" xfId="0" applyFont="1" applyBorder="1" applyAlignment="1">
      <alignment horizontal="left" vertical="center"/>
    </xf>
    <xf numFmtId="0" fontId="15" fillId="5" borderId="7" xfId="0" applyFont="1" applyFill="1" applyBorder="1" applyAlignment="1">
      <alignment horizontal="left" vertical="center"/>
    </xf>
    <xf numFmtId="0" fontId="14" fillId="0" borderId="6" xfId="0" applyFont="1" applyBorder="1">
      <alignment vertical="center"/>
    </xf>
    <xf numFmtId="0" fontId="15" fillId="0" borderId="6" xfId="0" applyFont="1" applyBorder="1" applyAlignment="1">
      <alignment horizontal="left" vertical="center"/>
    </xf>
    <xf numFmtId="0" fontId="7" fillId="4" borderId="7" xfId="0" applyFont="1" applyFill="1" applyBorder="1">
      <alignment vertical="center"/>
    </xf>
    <xf numFmtId="177" fontId="11" fillId="5" borderId="7" xfId="0" applyNumberFormat="1" applyFont="1" applyFill="1" applyBorder="1" applyAlignment="1">
      <alignment horizontal="right" vertical="center"/>
    </xf>
    <xf numFmtId="177" fontId="11" fillId="0" borderId="7" xfId="0" applyNumberFormat="1" applyFont="1" applyBorder="1" applyAlignment="1">
      <alignment horizontal="right" vertical="center"/>
    </xf>
    <xf numFmtId="177" fontId="12" fillId="0" borderId="7" xfId="13" applyNumberFormat="1" applyFont="1" applyBorder="1" applyAlignment="1">
      <alignment horizontal="right" vertical="center"/>
    </xf>
    <xf numFmtId="177" fontId="12" fillId="5" borderId="7" xfId="13" applyNumberFormat="1" applyFont="1" applyFill="1" applyBorder="1" applyAlignment="1">
      <alignment horizontal="right" vertical="center"/>
    </xf>
    <xf numFmtId="177" fontId="13" fillId="0" borderId="7" xfId="0" applyNumberFormat="1" applyFont="1" applyBorder="1" applyAlignment="1">
      <alignment horizontal="right" vertical="center"/>
    </xf>
    <xf numFmtId="177" fontId="13" fillId="5" borderId="7" xfId="0" applyNumberFormat="1" applyFont="1" applyFill="1" applyBorder="1" applyAlignment="1">
      <alignment horizontal="right" vertical="center"/>
    </xf>
    <xf numFmtId="177" fontId="13" fillId="0" borderId="6" xfId="0" applyNumberFormat="1" applyFont="1" applyBorder="1" applyAlignment="1">
      <alignment horizontal="right" vertical="center"/>
    </xf>
    <xf numFmtId="0" fontId="0" fillId="0" borderId="12" xfId="0" applyBorder="1">
      <alignment vertical="center"/>
    </xf>
    <xf numFmtId="0" fontId="0" fillId="0" borderId="11" xfId="0" applyBorder="1">
      <alignment vertical="center"/>
    </xf>
    <xf numFmtId="0" fontId="0" fillId="0" borderId="13" xfId="0" applyBorder="1">
      <alignment vertical="center"/>
    </xf>
    <xf numFmtId="0" fontId="0" fillId="0" borderId="14" xfId="0" applyBorder="1">
      <alignment vertical="center"/>
    </xf>
    <xf numFmtId="0" fontId="0" fillId="0" borderId="15" xfId="0" applyBorder="1">
      <alignment vertical="center"/>
    </xf>
    <xf numFmtId="0" fontId="0" fillId="0" borderId="16" xfId="0" applyBorder="1">
      <alignment vertical="center"/>
    </xf>
    <xf numFmtId="6" fontId="0" fillId="0" borderId="12" xfId="2" applyFont="1" applyBorder="1">
      <alignment vertical="center"/>
    </xf>
    <xf numFmtId="6" fontId="0" fillId="0" borderId="11" xfId="2" applyFont="1" applyBorder="1">
      <alignment vertical="center"/>
    </xf>
    <xf numFmtId="0" fontId="18" fillId="6" borderId="17" xfId="17" applyBorder="1">
      <alignment vertical="center"/>
    </xf>
    <xf numFmtId="0" fontId="18" fillId="6" borderId="18" xfId="17" applyBorder="1">
      <alignment vertical="center"/>
    </xf>
    <xf numFmtId="0" fontId="7" fillId="7" borderId="19" xfId="18" applyBorder="1">
      <alignment vertical="center"/>
    </xf>
    <xf numFmtId="0" fontId="7" fillId="7" borderId="17" xfId="18" applyBorder="1">
      <alignment vertical="center"/>
    </xf>
    <xf numFmtId="0" fontId="21" fillId="0" borderId="0" xfId="5" applyFont="1" applyBorder="1" applyAlignment="1">
      <alignment horizontal="left"/>
    </xf>
    <xf numFmtId="0" fontId="22" fillId="0" borderId="0" xfId="4" applyFont="1" applyBorder="1" applyAlignment="1">
      <alignment horizontal="left" wrapText="1"/>
    </xf>
    <xf numFmtId="0" fontId="23" fillId="0" borderId="0" xfId="4" applyFont="1" applyBorder="1" applyAlignment="1">
      <alignment horizontal="left" wrapText="1"/>
    </xf>
    <xf numFmtId="0" fontId="24" fillId="0" borderId="0" xfId="6" applyFont="1" applyBorder="1" applyAlignment="1">
      <alignment horizontal="right"/>
    </xf>
    <xf numFmtId="0" fontId="24" fillId="0" borderId="0" xfId="0" applyFont="1" applyBorder="1" applyAlignment="1">
      <alignment horizontal="left" wrapText="1"/>
    </xf>
    <xf numFmtId="0" fontId="24" fillId="0" borderId="0" xfId="0" applyFont="1" applyAlignment="1">
      <alignment horizontal="left" wrapText="1"/>
    </xf>
    <xf numFmtId="0" fontId="17" fillId="0" borderId="0" xfId="0" applyFont="1" applyFill="1" applyAlignment="1">
      <alignment horizontal="left" wrapText="1"/>
    </xf>
    <xf numFmtId="0" fontId="24" fillId="0" borderId="0" xfId="0" applyFont="1" applyFill="1" applyBorder="1" applyAlignment="1">
      <alignment horizontal="left" vertical="center" wrapText="1"/>
    </xf>
    <xf numFmtId="6" fontId="24" fillId="0" borderId="0" xfId="1" applyNumberFormat="1" applyFont="1" applyFill="1" applyBorder="1" applyAlignment="1">
      <alignment horizontal="left" vertical="center"/>
    </xf>
    <xf numFmtId="0" fontId="24" fillId="0" borderId="0" xfId="0" applyNumberFormat="1" applyFont="1" applyFill="1" applyBorder="1" applyAlignment="1">
      <alignment horizontal="left" vertical="center" wrapText="1"/>
    </xf>
    <xf numFmtId="6" fontId="25" fillId="0" borderId="0" xfId="2" applyNumberFormat="1" applyFont="1" applyFill="1" applyBorder="1" applyAlignment="1">
      <alignment horizontal="right" vertical="center"/>
    </xf>
    <xf numFmtId="0" fontId="24" fillId="0" borderId="0" xfId="1" applyNumberFormat="1" applyFont="1" applyFill="1" applyBorder="1" applyAlignment="1">
      <alignment horizontal="left" vertical="center" wrapText="1"/>
    </xf>
    <xf numFmtId="0" fontId="24" fillId="0" borderId="0" xfId="0" applyFont="1" applyFill="1" applyAlignment="1">
      <alignment horizontal="left" wrapText="1"/>
    </xf>
    <xf numFmtId="0" fontId="24" fillId="0" borderId="20" xfId="0" applyFont="1" applyFill="1" applyBorder="1" applyAlignment="1">
      <alignment horizontal="left" vertical="center" wrapText="1"/>
    </xf>
    <xf numFmtId="6" fontId="24" fillId="0" borderId="20" xfId="1" applyNumberFormat="1" applyFont="1" applyFill="1" applyBorder="1" applyAlignment="1">
      <alignment horizontal="left" vertical="center"/>
    </xf>
    <xf numFmtId="0" fontId="24" fillId="0" borderId="20" xfId="0" applyNumberFormat="1" applyFont="1" applyFill="1" applyBorder="1" applyAlignment="1">
      <alignment horizontal="left" vertical="center" wrapText="1"/>
    </xf>
    <xf numFmtId="6" fontId="25" fillId="0" borderId="20" xfId="2" applyNumberFormat="1" applyFont="1" applyFill="1" applyBorder="1" applyAlignment="1">
      <alignment horizontal="right" vertical="center"/>
    </xf>
    <xf numFmtId="0" fontId="25" fillId="0" borderId="0" xfId="10" applyFont="1" applyFill="1" applyBorder="1" applyAlignment="1">
      <alignment vertical="center"/>
    </xf>
    <xf numFmtId="0" fontId="25" fillId="0" borderId="21" xfId="10" applyFont="1" applyFill="1" applyBorder="1" applyAlignment="1">
      <alignment vertical="center"/>
    </xf>
    <xf numFmtId="6" fontId="24" fillId="0" borderId="21" xfId="2" applyFont="1" applyFill="1" applyBorder="1" applyAlignment="1">
      <alignment horizontal="right" vertical="center"/>
    </xf>
    <xf numFmtId="0" fontId="24" fillId="0" borderId="0" xfId="0" applyFont="1" applyAlignment="1">
      <alignment wrapText="1"/>
    </xf>
    <xf numFmtId="0" fontId="21" fillId="0" borderId="0" xfId="5" applyFont="1" applyBorder="1" applyAlignment="1"/>
    <xf numFmtId="0" fontId="24" fillId="0" borderId="0" xfId="0" applyFont="1" applyBorder="1" applyAlignment="1">
      <alignment wrapText="1"/>
    </xf>
    <xf numFmtId="0" fontId="25" fillId="0" borderId="20" xfId="7" applyFont="1" applyFill="1" applyBorder="1" applyAlignment="1">
      <alignment horizontal="left"/>
    </xf>
    <xf numFmtId="44" fontId="25" fillId="0" borderId="20" xfId="7" applyNumberFormat="1" applyFont="1" applyFill="1" applyBorder="1" applyAlignment="1">
      <alignment horizontal="left"/>
    </xf>
    <xf numFmtId="0" fontId="19" fillId="0" borderId="25" xfId="11" applyFont="1" applyFill="1" applyBorder="1" applyAlignment="1">
      <alignment horizontal="center" wrapText="1"/>
    </xf>
    <xf numFmtId="6" fontId="26" fillId="0" borderId="25" xfId="11" applyNumberFormat="1" applyFont="1" applyFill="1" applyBorder="1" applyAlignment="1">
      <alignment horizontal="right" wrapText="1"/>
    </xf>
    <xf numFmtId="0" fontId="24" fillId="0" borderId="0" xfId="0" applyFont="1" applyBorder="1" applyAlignment="1">
      <alignment horizontal="left" wrapText="1"/>
    </xf>
    <xf numFmtId="0" fontId="24" fillId="0" borderId="0" xfId="0" applyFont="1" applyAlignment="1">
      <alignment horizontal="left" wrapText="1"/>
    </xf>
    <xf numFmtId="0" fontId="24" fillId="0" borderId="0" xfId="0" applyFont="1" applyFill="1" applyBorder="1" applyAlignment="1">
      <alignment horizontal="center" wrapText="1"/>
    </xf>
    <xf numFmtId="0" fontId="20" fillId="0" borderId="0" xfId="3" applyFont="1" applyBorder="1" applyAlignment="1">
      <alignment horizontal="right" vertical="center"/>
    </xf>
    <xf numFmtId="0" fontId="24" fillId="0" borderId="0" xfId="9" applyFont="1" applyFill="1" applyAlignment="1">
      <alignment horizontal="center" vertical="center" wrapText="1"/>
    </xf>
    <xf numFmtId="0" fontId="24" fillId="0" borderId="22" xfId="8" applyFont="1" applyFill="1" applyBorder="1" applyAlignment="1">
      <alignment horizontal="center" vertical="center" wrapText="1"/>
    </xf>
    <xf numFmtId="0" fontId="24" fillId="0" borderId="23" xfId="8" applyFont="1" applyFill="1" applyBorder="1" applyAlignment="1">
      <alignment horizontal="center" vertical="center" wrapText="1"/>
    </xf>
    <xf numFmtId="0" fontId="24" fillId="0" borderId="24" xfId="8" applyFont="1" applyFill="1" applyBorder="1" applyAlignment="1">
      <alignment horizontal="center" vertical="center" wrapText="1"/>
    </xf>
    <xf numFmtId="176" fontId="24" fillId="0" borderId="0" xfId="15" applyFont="1">
      <alignment horizontal="left" vertical="top" wrapText="1"/>
    </xf>
    <xf numFmtId="0" fontId="21" fillId="0" borderId="0" xfId="5" applyFont="1" applyBorder="1" applyAlignment="1">
      <alignment horizontal="left"/>
    </xf>
  </cellXfs>
  <cellStyles count="19">
    <cellStyle name="20% - アクセント 1" xfId="11" builtinId="30"/>
    <cellStyle name="Date" xfId="14" xr:uid="{54C26651-F43B-42E3-813A-8FB3ECE0A74B}"/>
    <cellStyle name="Phone" xfId="15" xr:uid="{4CAD0244-26D7-4F38-A225-2777DE393FE7}"/>
    <cellStyle name="Right Alignment" xfId="16" xr:uid="{B8EAF7B9-A1D3-49C5-B585-F444CEA23DE5}"/>
    <cellStyle name="タイトル" xfId="3" builtinId="15"/>
    <cellStyle name="チェック セル" xfId="18" builtinId="23"/>
    <cellStyle name="メモ" xfId="8" builtinId="10"/>
    <cellStyle name="見出し 1" xfId="4" builtinId="16"/>
    <cellStyle name="見出し 2" xfId="5" builtinId="17"/>
    <cellStyle name="見出し 3" xfId="6" builtinId="18"/>
    <cellStyle name="見出し 4" xfId="7" builtinId="19"/>
    <cellStyle name="集計" xfId="10" builtinId="25"/>
    <cellStyle name="説明文" xfId="9" builtinId="53"/>
    <cellStyle name="通貨" xfId="2" builtinId="7"/>
    <cellStyle name="通貨 [0.00]" xfId="1" builtinId="4"/>
    <cellStyle name="通貨 2" xfId="13" xr:uid="{B3CE7E36-2778-4BC3-9681-EE672953E9F9}"/>
    <cellStyle name="標準" xfId="0" builtinId="0"/>
    <cellStyle name="標準 2" xfId="12" xr:uid="{F71CB8B3-8A30-4B99-B444-45400E447102}"/>
    <cellStyle name="良い" xfId="17" builtinId="26"/>
  </cellStyles>
  <dxfs count="13">
    <dxf>
      <font>
        <b val="0"/>
        <i val="0"/>
        <strike val="0"/>
        <condense val="0"/>
        <extend val="0"/>
        <outline val="0"/>
        <shadow val="0"/>
        <u val="none"/>
        <vertAlign val="baseline"/>
        <sz val="11"/>
        <color rgb="FF000000"/>
        <name val="Times New Roman"/>
        <family val="1"/>
        <scheme val="none"/>
      </font>
      <numFmt numFmtId="177" formatCode="&quot;¥&quot;#,##0_);[Red]\(&quot;¥&quot;#,##0\)"/>
      <alignment horizontal="right"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rgb="FF000000"/>
        <name val="游ゴシック"/>
        <family val="3"/>
        <charset val="128"/>
        <scheme val="none"/>
      </font>
      <alignment horizontal="left" vertical="center" textRotation="0" wrapText="0" indent="0" justifyLastLine="0" shrinkToFit="0" readingOrder="0"/>
      <border diagonalUp="0" diagonalDown="0">
        <left style="thin">
          <color auto="1"/>
        </left>
        <right/>
        <top style="thin">
          <color auto="1"/>
        </top>
        <bottom/>
        <vertical/>
        <horizontal/>
      </border>
    </dxf>
    <dxf>
      <font>
        <b val="0"/>
        <i val="0"/>
        <strike val="0"/>
        <condense val="0"/>
        <extend val="0"/>
        <outline val="0"/>
        <shadow val="0"/>
        <u val="none"/>
        <vertAlign val="baseline"/>
        <sz val="11"/>
        <color theme="1"/>
        <name val="游ゴシック"/>
        <family val="3"/>
        <charset val="128"/>
        <scheme val="none"/>
      </font>
      <border diagonalUp="0" diagonalDown="0">
        <left style="thin">
          <color auto="1"/>
        </left>
        <right/>
        <top style="thin">
          <color auto="1"/>
        </top>
        <bottom/>
        <vertical/>
        <horizontal/>
      </border>
    </dxf>
    <dxf>
      <border outline="0">
        <right style="thin">
          <color auto="1"/>
        </right>
      </border>
    </dxf>
    <dxf>
      <font>
        <b val="0"/>
        <i val="0"/>
        <strike val="0"/>
        <condense val="0"/>
        <extend val="0"/>
        <outline val="0"/>
        <shadow val="0"/>
        <u val="none"/>
        <vertAlign val="baseline"/>
        <sz val="11"/>
        <color theme="1"/>
        <name val="ＭＳ Ｐゴシック"/>
        <family val="2"/>
        <charset val="128"/>
        <scheme val="minor"/>
      </font>
      <fill>
        <patternFill patternType="solid">
          <fgColor theme="4" tint="0.79998168889431442"/>
          <bgColor theme="4" tint="0.79998168889431442"/>
        </patternFill>
      </fill>
      <border diagonalUp="0" diagonalDown="0">
        <left style="thin">
          <color theme="4" tint="0.39997558519241921"/>
        </left>
        <right/>
        <top style="thin">
          <color theme="4" tint="0.39997558519241921"/>
        </top>
        <bottom/>
        <vertical/>
        <horizontal/>
      </border>
    </dxf>
    <dxf>
      <border outline="0">
        <right style="thin">
          <color theme="4" tint="0.39997558519241921"/>
        </right>
      </border>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i val="0"/>
        <color theme="3" tint="-0.24994659260841701"/>
      </font>
    </dxf>
    <dxf>
      <font>
        <b/>
        <color theme="1"/>
      </font>
    </dxf>
    <dxf>
      <font>
        <b val="0"/>
        <i val="0"/>
        <color theme="3" tint="-0.24994659260841701"/>
      </font>
      <border diagonalUp="0" diagonalDown="0">
        <left/>
        <right/>
        <top style="thin">
          <color theme="4" tint="0.39991454817346722"/>
        </top>
        <bottom/>
        <vertical/>
        <horizontal/>
      </border>
    </dxf>
    <dxf>
      <font>
        <b val="0"/>
        <i val="0"/>
        <color theme="0"/>
      </font>
      <fill>
        <gradientFill degree="90">
          <stop position="0">
            <color theme="4"/>
          </stop>
          <stop position="1">
            <color theme="4" tint="-0.49803155613879818"/>
          </stop>
        </gradientFill>
      </fill>
    </dxf>
    <dxf>
      <font>
        <color theme="1"/>
      </font>
      <border diagonalUp="0" diagonalDown="0">
        <left/>
        <right/>
        <top/>
        <bottom/>
        <vertical/>
        <horizontal/>
      </border>
    </dxf>
  </dxfs>
  <tableStyles count="1" defaultTableStyle="TableStyleMedium2" defaultPivotStyle="PivotStyleLight16">
    <tableStyle name="Service Invoice" pivot="0" count="7" xr9:uid="{00000000-0011-0000-FFFF-FFFF00000000}">
      <tableStyleElement type="wholeTable" dxfId="12"/>
      <tableStyleElement type="headerRow" dxfId="11"/>
      <tableStyleElement type="totalRow" dxfId="10"/>
      <tableStyleElement type="firstColumn" dxfId="9"/>
      <tableStyleElement type="lastColumn" dxfId="8"/>
      <tableStyleElement type="firstRowStripe" dxfId="7"/>
      <tableStyleElement type="firstColumnStripe" dxfId="6"/>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9</xdr:col>
      <xdr:colOff>361950</xdr:colOff>
      <xdr:row>1</xdr:row>
      <xdr:rowOff>82550</xdr:rowOff>
    </xdr:from>
    <xdr:to>
      <xdr:col>11</xdr:col>
      <xdr:colOff>527050</xdr:colOff>
      <xdr:row>4</xdr:row>
      <xdr:rowOff>152400</xdr:rowOff>
    </xdr:to>
    <xdr:sp macro="[0]!main" textlink="">
      <xdr:nvSpPr>
        <xdr:cNvPr id="2" name="テキスト ボックス 1">
          <a:extLst>
            <a:ext uri="{FF2B5EF4-FFF2-40B4-BE49-F238E27FC236}">
              <a16:creationId xmlns:a16="http://schemas.microsoft.com/office/drawing/2014/main" id="{2DD55A93-DA7C-4351-96BE-841AA6CF5A8B}"/>
            </a:ext>
          </a:extLst>
        </xdr:cNvPr>
        <xdr:cNvSpPr txBox="1"/>
      </xdr:nvSpPr>
      <xdr:spPr>
        <a:xfrm>
          <a:off x="10020300" y="247650"/>
          <a:ext cx="1384300" cy="565150"/>
        </a:xfrm>
        <a:prstGeom prst="rect">
          <a:avLst/>
        </a:prstGeom>
        <a:solidFill>
          <a:srgbClr val="00B050"/>
        </a:solidFill>
        <a:ln w="9525" cap="rnd" cmpd="sng">
          <a:solidFill>
            <a:schemeClr val="lt1">
              <a:shade val="50000"/>
            </a:schemeClr>
          </a:solidFill>
        </a:ln>
        <a:effectLst>
          <a:outerShdw blurRad="63500" sx="102000" sy="102000" algn="ctr" rotWithShape="0">
            <a:prstClr val="black">
              <a:alpha val="40000"/>
            </a:prstClr>
          </a:outerShdw>
        </a:effectLst>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1600" b="1"/>
            <a:t>請求書作成</a:t>
          </a:r>
        </a:p>
      </xdr:txBody>
    </xdr:sp>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99650718-7C33-4B61-A752-DEF3B4A34959}" name="テーブル11" displayName="テーブル11" ref="A1:B86" totalsRowShown="0" tableBorderDxfId="5">
  <autoFilter ref="A1:B86" xr:uid="{5443BA15-1E08-4579-AACA-684F4C6F36A6}"/>
  <tableColumns count="2">
    <tableColumn id="1" xr3:uid="{033862F8-D9DB-44C9-B9B3-5414AE143A32}" name="団体ID"/>
    <tableColumn id="2" xr3:uid="{23AB1D49-7A65-464E-B844-2D6277E790ED}" name="団体一覧" dataDxfId="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EAE5481-D0D3-4383-901C-FD26125E0404}" name="テーブル12" displayName="テーブル12" ref="D1:G56" totalsRowShown="0" tableBorderDxfId="3">
  <autoFilter ref="D1:G56" xr:uid="{082ACE8A-BCE4-428A-8CFE-5725B42BA548}"/>
  <tableColumns count="4">
    <tableColumn id="1" xr3:uid="{B8828A1A-231B-4A3A-8B87-665640DDD32B}" name="分別ID"/>
    <tableColumn id="2" xr3:uid="{ED1904BA-7C1F-4AAB-88CB-3940101A3FE1}" name="局" dataDxfId="2"/>
    <tableColumn id="3" xr3:uid="{FAB0690D-CDDC-4814-8865-789AE5764C0B}" name="分別" dataDxfId="1"/>
    <tableColumn id="4" xr3:uid="{46A9B35B-0A9E-476F-8F04-245F24F4B6F1}" name="単価(税込)" dataDxfId="0"/>
  </tableColumns>
  <tableStyleInfo name="TableStyleMedium2" showFirstColumn="0" showLastColumn="0" showRowStripes="1" showColumnStripes="0"/>
</table>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K2000"/>
  <sheetViews>
    <sheetView showGridLines="0" tabSelected="1" workbookViewId="0">
      <selection activeCell="A2" sqref="A2"/>
    </sheetView>
  </sheetViews>
  <sheetFormatPr defaultRowHeight="13"/>
  <cols>
    <col min="1" max="1" width="8.7265625" style="25"/>
    <col min="2" max="2" width="9.1796875" style="25" customWidth="1"/>
    <col min="3" max="3" width="6.7265625" style="29" customWidth="1"/>
    <col min="4" max="4" width="24.36328125" style="27" bestFit="1" customWidth="1"/>
    <col min="5" max="5" width="18.6328125" style="25" customWidth="1"/>
    <col min="6" max="6" width="37.1796875" style="25" customWidth="1"/>
    <col min="7" max="7" width="12.36328125" style="25" bestFit="1" customWidth="1"/>
    <col min="8" max="8" width="8.7265625" style="25"/>
    <col min="9" max="9" width="12.36328125" style="25" bestFit="1" customWidth="1"/>
  </cols>
  <sheetData>
    <row r="1" spans="1:11">
      <c r="A1" s="32" t="s">
        <v>14</v>
      </c>
      <c r="B1" s="32" t="s">
        <v>13</v>
      </c>
      <c r="C1" s="33" t="s">
        <v>7</v>
      </c>
      <c r="D1" s="34" t="s">
        <v>5</v>
      </c>
      <c r="E1" s="35" t="s">
        <v>15</v>
      </c>
      <c r="F1" s="35" t="s">
        <v>3</v>
      </c>
      <c r="G1" s="35" t="s">
        <v>6</v>
      </c>
      <c r="H1" s="35" t="s">
        <v>17</v>
      </c>
      <c r="I1" s="35" t="s">
        <v>4</v>
      </c>
    </row>
    <row r="2" spans="1:11">
      <c r="A2" s="25">
        <v>1</v>
      </c>
      <c r="B2" s="25">
        <v>100</v>
      </c>
      <c r="C2" s="29">
        <v>1</v>
      </c>
      <c r="D2" s="27" t="str">
        <f>IFERROR(VLOOKUP(A2,テーブル11[],2,FALSE),"")</f>
        <v>企業A</v>
      </c>
      <c r="E2" s="25" t="str">
        <f>IFERROR(VLOOKUP($B2,テーブル12[],2,FALSE),"")</f>
        <v>資材局</v>
      </c>
      <c r="F2" s="25" t="str">
        <f>IFERROR(VLOOKUP($B2,テーブル12[],3,FALSE),"")</f>
        <v>商品A</v>
      </c>
      <c r="G2" s="31">
        <f>IFERROR(VLOOKUP($B2,テーブル12[],4,FALSE),"")</f>
        <v>30000</v>
      </c>
      <c r="H2" s="25">
        <f t="shared" ref="H2:H65" si="0">IF(C2=0,"",C2)</f>
        <v>1</v>
      </c>
      <c r="I2" s="31">
        <f t="shared" ref="I2:I65" si="1">IF(C2=0,"",G2*C2)</f>
        <v>30000</v>
      </c>
    </row>
    <row r="3" spans="1:11">
      <c r="A3" s="24">
        <v>2</v>
      </c>
      <c r="B3" s="24">
        <v>102</v>
      </c>
      <c r="C3" s="28">
        <v>2</v>
      </c>
      <c r="D3" s="26" t="str">
        <f>IFERROR(VLOOKUP(A3,テーブル11[],2,FALSE),"")</f>
        <v>企業B</v>
      </c>
      <c r="E3" s="24" t="str">
        <f>IFERROR(VLOOKUP($B3,テーブル12[],2,FALSE),"")</f>
        <v>ステージ局</v>
      </c>
      <c r="F3" s="24" t="str">
        <f>IFERROR(VLOOKUP($B3,テーブル12[],3,FALSE),"")</f>
        <v>商品C</v>
      </c>
      <c r="G3" s="30">
        <f>IFERROR(VLOOKUP($B3,テーブル12[],4,FALSE),"")</f>
        <v>500</v>
      </c>
      <c r="H3" s="24">
        <f t="shared" si="0"/>
        <v>2</v>
      </c>
      <c r="I3" s="30">
        <f t="shared" si="1"/>
        <v>1000</v>
      </c>
    </row>
    <row r="4" spans="1:11">
      <c r="A4" s="25">
        <v>1</v>
      </c>
      <c r="B4" s="25">
        <v>100</v>
      </c>
      <c r="C4" s="29">
        <v>1</v>
      </c>
      <c r="D4" s="27" t="str">
        <f>IFERROR(VLOOKUP(A4,テーブル11[],2,FALSE),"")</f>
        <v>企業A</v>
      </c>
      <c r="E4" s="25" t="str">
        <f>IFERROR(VLOOKUP($B4,テーブル12[],2,FALSE),"")</f>
        <v>資材局</v>
      </c>
      <c r="F4" s="25" t="str">
        <f>IFERROR(VLOOKUP($B4,テーブル12[],3,FALSE),"")</f>
        <v>商品A</v>
      </c>
      <c r="G4" s="31">
        <f>IFERROR(VLOOKUP($B4,テーブル12[],4,FALSE),"")</f>
        <v>30000</v>
      </c>
      <c r="H4" s="25">
        <f t="shared" si="0"/>
        <v>1</v>
      </c>
      <c r="I4" s="31">
        <f t="shared" si="1"/>
        <v>30000</v>
      </c>
    </row>
    <row r="5" spans="1:11">
      <c r="A5" s="25">
        <v>1</v>
      </c>
      <c r="B5" s="25">
        <v>101</v>
      </c>
      <c r="C5" s="29">
        <v>1</v>
      </c>
      <c r="D5" s="27" t="str">
        <f>IFERROR(VLOOKUP(A5,テーブル11[],2,FALSE),"")</f>
        <v>企業A</v>
      </c>
      <c r="E5" s="25" t="str">
        <f>IFERROR(VLOOKUP($B5,テーブル12[],2,FALSE),"")</f>
        <v>ステージ局</v>
      </c>
      <c r="F5" s="25" t="str">
        <f>IFERROR(VLOOKUP($B5,テーブル12[],3,FALSE),"")</f>
        <v>商品B</v>
      </c>
      <c r="G5" s="31">
        <f>IFERROR(VLOOKUP($B5,テーブル12[],4,FALSE),"")</f>
        <v>3000</v>
      </c>
      <c r="H5" s="25">
        <f t="shared" si="0"/>
        <v>1</v>
      </c>
      <c r="I5" s="31">
        <f t="shared" si="1"/>
        <v>3000</v>
      </c>
    </row>
    <row r="6" spans="1:11">
      <c r="A6" s="25">
        <v>3</v>
      </c>
      <c r="B6" s="25">
        <v>102</v>
      </c>
      <c r="C6" s="29">
        <v>1</v>
      </c>
      <c r="D6" s="27" t="str">
        <f>IFERROR(VLOOKUP(A6,テーブル11[],2,FALSE),"")</f>
        <v>企業C</v>
      </c>
      <c r="E6" s="25" t="str">
        <f>IFERROR(VLOOKUP($B6,テーブル12[],2,FALSE),"")</f>
        <v>ステージ局</v>
      </c>
      <c r="F6" s="25" t="str">
        <f>IFERROR(VLOOKUP($B6,テーブル12[],3,FALSE),"")</f>
        <v>商品C</v>
      </c>
      <c r="G6" s="31">
        <f>IFERROR(VLOOKUP($B6,テーブル12[],4,FALSE),"")</f>
        <v>500</v>
      </c>
      <c r="H6" s="25">
        <f t="shared" si="0"/>
        <v>1</v>
      </c>
      <c r="I6" s="31">
        <f t="shared" si="1"/>
        <v>500</v>
      </c>
    </row>
    <row r="7" spans="1:11">
      <c r="D7" s="27" t="str">
        <f>IFERROR(VLOOKUP(A7,テーブル11[],2,FALSE),"")</f>
        <v/>
      </c>
      <c r="E7" s="25" t="str">
        <f>IFERROR(VLOOKUP($B7,テーブル12[],2,FALSE),"")</f>
        <v/>
      </c>
      <c r="F7" s="25" t="str">
        <f>IFERROR(VLOOKUP($B7,テーブル12[],3,FALSE),"")</f>
        <v/>
      </c>
      <c r="G7" s="31" t="str">
        <f>IFERROR(VLOOKUP($B7,テーブル12[],4,FALSE),"")</f>
        <v/>
      </c>
      <c r="H7" s="25" t="str">
        <f t="shared" si="0"/>
        <v/>
      </c>
      <c r="I7" s="31" t="str">
        <f t="shared" si="1"/>
        <v/>
      </c>
      <c r="K7" t="s">
        <v>28</v>
      </c>
    </row>
    <row r="8" spans="1:11">
      <c r="D8" s="27" t="str">
        <f>IFERROR(VLOOKUP(A8,テーブル11[],2,FALSE),"")</f>
        <v/>
      </c>
      <c r="E8" s="25" t="str">
        <f>IFERROR(VLOOKUP($B8,テーブル12[],2,FALSE),"")</f>
        <v/>
      </c>
      <c r="F8" s="25" t="str">
        <f>IFERROR(VLOOKUP($B8,テーブル12[],3,FALSE),"")</f>
        <v/>
      </c>
      <c r="G8" s="31" t="str">
        <f>IFERROR(VLOOKUP($B8,テーブル12[],4,FALSE),"")</f>
        <v/>
      </c>
      <c r="H8" s="25" t="str">
        <f t="shared" si="0"/>
        <v/>
      </c>
      <c r="I8" s="31" t="str">
        <f t="shared" si="1"/>
        <v/>
      </c>
      <c r="K8" t="s">
        <v>29</v>
      </c>
    </row>
    <row r="9" spans="1:11">
      <c r="D9" s="27" t="str">
        <f>IFERROR(VLOOKUP(A9,テーブル11[],2,FALSE),"")</f>
        <v/>
      </c>
      <c r="E9" s="25" t="str">
        <f>IFERROR(VLOOKUP($B9,テーブル12[],2,FALSE),"")</f>
        <v/>
      </c>
      <c r="F9" s="25" t="str">
        <f>IFERROR(VLOOKUP($B9,テーブル12[],3,FALSE),"")</f>
        <v/>
      </c>
      <c r="G9" s="31" t="str">
        <f>IFERROR(VLOOKUP($B9,テーブル12[],4,FALSE),"")</f>
        <v/>
      </c>
      <c r="H9" s="25" t="str">
        <f t="shared" si="0"/>
        <v/>
      </c>
      <c r="I9" s="31" t="str">
        <f t="shared" si="1"/>
        <v/>
      </c>
    </row>
    <row r="10" spans="1:11">
      <c r="D10" s="27" t="str">
        <f>IFERROR(VLOOKUP(A10,テーブル11[],2,FALSE),"")</f>
        <v/>
      </c>
      <c r="E10" s="25" t="str">
        <f>IFERROR(VLOOKUP($B10,テーブル12[],2,FALSE),"")</f>
        <v/>
      </c>
      <c r="F10" s="25" t="str">
        <f>IFERROR(VLOOKUP($B10,テーブル12[],3,FALSE),"")</f>
        <v/>
      </c>
      <c r="G10" s="31" t="str">
        <f>IFERROR(VLOOKUP($B10,テーブル12[],4,FALSE),"")</f>
        <v/>
      </c>
      <c r="H10" s="25" t="str">
        <f t="shared" si="0"/>
        <v/>
      </c>
      <c r="I10" s="31" t="str">
        <f t="shared" si="1"/>
        <v/>
      </c>
    </row>
    <row r="11" spans="1:11">
      <c r="D11" s="27" t="str">
        <f>IFERROR(VLOOKUP(A11,テーブル11[],2,FALSE),"")</f>
        <v/>
      </c>
      <c r="E11" s="25" t="str">
        <f>IFERROR(VLOOKUP($B11,テーブル12[],2,FALSE),"")</f>
        <v/>
      </c>
      <c r="F11" s="25" t="str">
        <f>IFERROR(VLOOKUP($B11,テーブル12[],3,FALSE),"")</f>
        <v/>
      </c>
      <c r="G11" s="31" t="str">
        <f>IFERROR(VLOOKUP($B11,テーブル12[],4,FALSE),"")</f>
        <v/>
      </c>
      <c r="H11" s="25" t="str">
        <f t="shared" si="0"/>
        <v/>
      </c>
      <c r="I11" s="31" t="str">
        <f t="shared" si="1"/>
        <v/>
      </c>
    </row>
    <row r="12" spans="1:11">
      <c r="D12" s="27" t="str">
        <f>IFERROR(VLOOKUP(A12,テーブル11[],2,FALSE),"")</f>
        <v/>
      </c>
      <c r="E12" s="25" t="str">
        <f>IFERROR(VLOOKUP($B12,テーブル12[],2,FALSE),"")</f>
        <v/>
      </c>
      <c r="F12" s="25" t="str">
        <f>IFERROR(VLOOKUP($B12,テーブル12[],3,FALSE),"")</f>
        <v/>
      </c>
      <c r="G12" s="31" t="str">
        <f>IFERROR(VLOOKUP($B12,テーブル12[],4,FALSE),"")</f>
        <v/>
      </c>
      <c r="H12" s="25" t="str">
        <f t="shared" si="0"/>
        <v/>
      </c>
      <c r="I12" s="31" t="str">
        <f t="shared" si="1"/>
        <v/>
      </c>
    </row>
    <row r="13" spans="1:11">
      <c r="D13" s="27" t="str">
        <f>IFERROR(VLOOKUP(A13,テーブル11[],2,FALSE),"")</f>
        <v/>
      </c>
      <c r="E13" s="25" t="str">
        <f>IFERROR(VLOOKUP($B13,テーブル12[],2,FALSE),"")</f>
        <v/>
      </c>
      <c r="F13" s="25" t="str">
        <f>IFERROR(VLOOKUP($B13,テーブル12[],3,FALSE),"")</f>
        <v/>
      </c>
      <c r="G13" s="31" t="str">
        <f>IFERROR(VLOOKUP($B13,テーブル12[],4,FALSE),"")</f>
        <v/>
      </c>
      <c r="H13" s="25" t="str">
        <f t="shared" si="0"/>
        <v/>
      </c>
      <c r="I13" s="31" t="str">
        <f t="shared" si="1"/>
        <v/>
      </c>
    </row>
    <row r="14" spans="1:11">
      <c r="D14" s="27" t="str">
        <f>IFERROR(VLOOKUP(A14,テーブル11[],2,FALSE),"")</f>
        <v/>
      </c>
      <c r="E14" s="25" t="str">
        <f>IFERROR(VLOOKUP($B14,テーブル12[],2,FALSE),"")</f>
        <v/>
      </c>
      <c r="F14" s="25" t="str">
        <f>IFERROR(VLOOKUP($B14,テーブル12[],3,FALSE),"")</f>
        <v/>
      </c>
      <c r="G14" s="31" t="str">
        <f>IFERROR(VLOOKUP($B14,テーブル12[],4,FALSE),"")</f>
        <v/>
      </c>
      <c r="H14" s="25" t="str">
        <f t="shared" si="0"/>
        <v/>
      </c>
      <c r="I14" s="31" t="str">
        <f t="shared" si="1"/>
        <v/>
      </c>
    </row>
    <row r="15" spans="1:11">
      <c r="D15" s="27" t="str">
        <f>IFERROR(VLOOKUP(A15,テーブル11[],2,FALSE),"")</f>
        <v/>
      </c>
      <c r="E15" s="25" t="str">
        <f>IFERROR(VLOOKUP($B15,テーブル12[],2,FALSE),"")</f>
        <v/>
      </c>
      <c r="F15" s="25" t="str">
        <f>IFERROR(VLOOKUP($B15,テーブル12[],3,FALSE),"")</f>
        <v/>
      </c>
      <c r="G15" s="31" t="str">
        <f>IFERROR(VLOOKUP($B15,テーブル12[],4,FALSE),"")</f>
        <v/>
      </c>
      <c r="H15" s="25" t="str">
        <f t="shared" si="0"/>
        <v/>
      </c>
      <c r="I15" s="31" t="str">
        <f t="shared" si="1"/>
        <v/>
      </c>
    </row>
    <row r="16" spans="1:11">
      <c r="D16" s="27" t="str">
        <f>IFERROR(VLOOKUP(A16,テーブル11[],2,FALSE),"")</f>
        <v/>
      </c>
      <c r="E16" s="25" t="str">
        <f>IFERROR(VLOOKUP($B16,テーブル12[],2,FALSE),"")</f>
        <v/>
      </c>
      <c r="F16" s="25" t="str">
        <f>IFERROR(VLOOKUP($B16,テーブル12[],3,FALSE),"")</f>
        <v/>
      </c>
      <c r="G16" s="31" t="str">
        <f>IFERROR(VLOOKUP($B16,テーブル12[],4,FALSE),"")</f>
        <v/>
      </c>
      <c r="H16" s="25" t="str">
        <f t="shared" si="0"/>
        <v/>
      </c>
      <c r="I16" s="31" t="str">
        <f t="shared" si="1"/>
        <v/>
      </c>
    </row>
    <row r="17" spans="4:9">
      <c r="D17" s="27" t="str">
        <f>IFERROR(VLOOKUP(A17,テーブル11[],2,FALSE),"")</f>
        <v/>
      </c>
      <c r="E17" s="25" t="str">
        <f>IFERROR(VLOOKUP($B17,テーブル12[],2,FALSE),"")</f>
        <v/>
      </c>
      <c r="F17" s="25" t="str">
        <f>IFERROR(VLOOKUP($B17,テーブル12[],3,FALSE),"")</f>
        <v/>
      </c>
      <c r="G17" s="31" t="str">
        <f>IFERROR(VLOOKUP($B17,テーブル12[],4,FALSE),"")</f>
        <v/>
      </c>
      <c r="H17" s="25" t="str">
        <f t="shared" si="0"/>
        <v/>
      </c>
      <c r="I17" s="31" t="str">
        <f t="shared" si="1"/>
        <v/>
      </c>
    </row>
    <row r="18" spans="4:9">
      <c r="D18" s="27" t="str">
        <f>IFERROR(VLOOKUP(A18,テーブル11[],2,FALSE),"")</f>
        <v/>
      </c>
      <c r="E18" s="25" t="str">
        <f>IFERROR(VLOOKUP($B18,テーブル12[],2,FALSE),"")</f>
        <v/>
      </c>
      <c r="F18" s="25" t="str">
        <f>IFERROR(VLOOKUP($B18,テーブル12[],3,FALSE),"")</f>
        <v/>
      </c>
      <c r="G18" s="31" t="str">
        <f>IFERROR(VLOOKUP($B18,テーブル12[],4,FALSE),"")</f>
        <v/>
      </c>
      <c r="H18" s="25" t="str">
        <f t="shared" si="0"/>
        <v/>
      </c>
      <c r="I18" s="31" t="str">
        <f t="shared" si="1"/>
        <v/>
      </c>
    </row>
    <row r="19" spans="4:9">
      <c r="D19" s="27" t="str">
        <f>IFERROR(VLOOKUP(A19,テーブル11[],2,FALSE),"")</f>
        <v/>
      </c>
      <c r="E19" s="25" t="str">
        <f>IFERROR(VLOOKUP($B19,テーブル12[],2,FALSE),"")</f>
        <v/>
      </c>
      <c r="F19" s="25" t="str">
        <f>IFERROR(VLOOKUP($B19,テーブル12[],3,FALSE),"")</f>
        <v/>
      </c>
      <c r="G19" s="31" t="str">
        <f>IFERROR(VLOOKUP($B19,テーブル12[],4,FALSE),"")</f>
        <v/>
      </c>
      <c r="H19" s="25" t="str">
        <f t="shared" si="0"/>
        <v/>
      </c>
      <c r="I19" s="31" t="str">
        <f t="shared" si="1"/>
        <v/>
      </c>
    </row>
    <row r="20" spans="4:9">
      <c r="D20" s="27" t="str">
        <f>IFERROR(VLOOKUP(A20,テーブル11[],2,FALSE),"")</f>
        <v/>
      </c>
      <c r="E20" s="25" t="str">
        <f>IFERROR(VLOOKUP($B20,テーブル12[],2,FALSE),"")</f>
        <v/>
      </c>
      <c r="F20" s="25" t="str">
        <f>IFERROR(VLOOKUP($B20,テーブル12[],3,FALSE),"")</f>
        <v/>
      </c>
      <c r="G20" s="31" t="str">
        <f>IFERROR(VLOOKUP($B20,テーブル12[],4,FALSE),"")</f>
        <v/>
      </c>
      <c r="H20" s="25" t="str">
        <f t="shared" si="0"/>
        <v/>
      </c>
      <c r="I20" s="31" t="str">
        <f t="shared" si="1"/>
        <v/>
      </c>
    </row>
    <row r="21" spans="4:9">
      <c r="D21" s="27" t="str">
        <f>IFERROR(VLOOKUP(A21,テーブル11[],2,FALSE),"")</f>
        <v/>
      </c>
      <c r="E21" s="25" t="str">
        <f>IFERROR(VLOOKUP($B21,テーブル12[],2,FALSE),"")</f>
        <v/>
      </c>
      <c r="F21" s="25" t="str">
        <f>IFERROR(VLOOKUP($B21,テーブル12[],3,FALSE),"")</f>
        <v/>
      </c>
      <c r="G21" s="31" t="str">
        <f>IFERROR(VLOOKUP($B21,テーブル12[],4,FALSE),"")</f>
        <v/>
      </c>
      <c r="H21" s="25" t="str">
        <f t="shared" si="0"/>
        <v/>
      </c>
      <c r="I21" s="31" t="str">
        <f t="shared" si="1"/>
        <v/>
      </c>
    </row>
    <row r="22" spans="4:9">
      <c r="D22" s="27" t="str">
        <f>IFERROR(VLOOKUP(A22,テーブル11[],2,FALSE),"")</f>
        <v/>
      </c>
      <c r="E22" s="25" t="str">
        <f>IFERROR(VLOOKUP($B22,テーブル12[],2,FALSE),"")</f>
        <v/>
      </c>
      <c r="F22" s="25" t="str">
        <f>IFERROR(VLOOKUP($B22,テーブル12[],3,FALSE),"")</f>
        <v/>
      </c>
      <c r="G22" s="31" t="str">
        <f>IFERROR(VLOOKUP($B22,テーブル12[],4,FALSE),"")</f>
        <v/>
      </c>
      <c r="H22" s="25" t="str">
        <f t="shared" si="0"/>
        <v/>
      </c>
      <c r="I22" s="31" t="str">
        <f t="shared" si="1"/>
        <v/>
      </c>
    </row>
    <row r="23" spans="4:9">
      <c r="D23" s="27" t="str">
        <f>IFERROR(VLOOKUP(A23,テーブル11[],2,FALSE),"")</f>
        <v/>
      </c>
      <c r="E23" s="25" t="str">
        <f>IFERROR(VLOOKUP($B23,テーブル12[],2,FALSE),"")</f>
        <v/>
      </c>
      <c r="F23" s="25" t="str">
        <f>IFERROR(VLOOKUP($B23,テーブル12[],3,FALSE),"")</f>
        <v/>
      </c>
      <c r="G23" s="31" t="str">
        <f>IFERROR(VLOOKUP($B23,テーブル12[],4,FALSE),"")</f>
        <v/>
      </c>
      <c r="H23" s="25" t="str">
        <f t="shared" si="0"/>
        <v/>
      </c>
      <c r="I23" s="31" t="str">
        <f t="shared" si="1"/>
        <v/>
      </c>
    </row>
    <row r="24" spans="4:9">
      <c r="D24" s="27" t="str">
        <f>IFERROR(VLOOKUP(A24,テーブル11[],2,FALSE),"")</f>
        <v/>
      </c>
      <c r="E24" s="25" t="str">
        <f>IFERROR(VLOOKUP($B24,テーブル12[],2,FALSE),"")</f>
        <v/>
      </c>
      <c r="F24" s="25" t="str">
        <f>IFERROR(VLOOKUP($B24,テーブル12[],3,FALSE),"")</f>
        <v/>
      </c>
      <c r="G24" s="31" t="str">
        <f>IFERROR(VLOOKUP($B24,テーブル12[],4,FALSE),"")</f>
        <v/>
      </c>
      <c r="H24" s="25" t="str">
        <f t="shared" si="0"/>
        <v/>
      </c>
      <c r="I24" s="31" t="str">
        <f t="shared" si="1"/>
        <v/>
      </c>
    </row>
    <row r="25" spans="4:9">
      <c r="D25" s="27" t="str">
        <f>IFERROR(VLOOKUP(A25,テーブル11[],2,FALSE),"")</f>
        <v/>
      </c>
      <c r="E25" s="25" t="str">
        <f>IFERROR(VLOOKUP($B25,テーブル12[],2,FALSE),"")</f>
        <v/>
      </c>
      <c r="F25" s="25" t="str">
        <f>IFERROR(VLOOKUP($B25,テーブル12[],3,FALSE),"")</f>
        <v/>
      </c>
      <c r="G25" s="31" t="str">
        <f>IFERROR(VLOOKUP($B25,テーブル12[],4,FALSE),"")</f>
        <v/>
      </c>
      <c r="H25" s="25" t="str">
        <f t="shared" si="0"/>
        <v/>
      </c>
      <c r="I25" s="31" t="str">
        <f t="shared" si="1"/>
        <v/>
      </c>
    </row>
    <row r="26" spans="4:9">
      <c r="D26" s="27" t="str">
        <f>IFERROR(VLOOKUP(A26,テーブル11[],2,FALSE),"")</f>
        <v/>
      </c>
      <c r="E26" s="25" t="str">
        <f>IFERROR(VLOOKUP($B26,テーブル12[],2,FALSE),"")</f>
        <v/>
      </c>
      <c r="F26" s="25" t="str">
        <f>IFERROR(VLOOKUP($B26,テーブル12[],3,FALSE),"")</f>
        <v/>
      </c>
      <c r="G26" s="31" t="str">
        <f>IFERROR(VLOOKUP($B26,テーブル12[],4,FALSE),"")</f>
        <v/>
      </c>
      <c r="H26" s="25" t="str">
        <f t="shared" si="0"/>
        <v/>
      </c>
      <c r="I26" s="31" t="str">
        <f t="shared" si="1"/>
        <v/>
      </c>
    </row>
    <row r="27" spans="4:9">
      <c r="D27" s="27" t="str">
        <f>IFERROR(VLOOKUP(A27,テーブル11[],2,FALSE),"")</f>
        <v/>
      </c>
      <c r="E27" s="25" t="str">
        <f>IFERROR(VLOOKUP($B27,テーブル12[],2,FALSE),"")</f>
        <v/>
      </c>
      <c r="F27" s="25" t="str">
        <f>IFERROR(VLOOKUP($B27,テーブル12[],3,FALSE),"")</f>
        <v/>
      </c>
      <c r="G27" s="31" t="str">
        <f>IFERROR(VLOOKUP($B27,テーブル12[],4,FALSE),"")</f>
        <v/>
      </c>
      <c r="H27" s="25" t="str">
        <f t="shared" si="0"/>
        <v/>
      </c>
      <c r="I27" s="31" t="str">
        <f t="shared" si="1"/>
        <v/>
      </c>
    </row>
    <row r="28" spans="4:9">
      <c r="D28" s="27" t="str">
        <f>IFERROR(VLOOKUP(A28,テーブル11[],2,FALSE),"")</f>
        <v/>
      </c>
      <c r="E28" s="25" t="str">
        <f>IFERROR(VLOOKUP($B28,テーブル12[],2,FALSE),"")</f>
        <v/>
      </c>
      <c r="F28" s="25" t="str">
        <f>IFERROR(VLOOKUP($B28,テーブル12[],3,FALSE),"")</f>
        <v/>
      </c>
      <c r="G28" s="31" t="str">
        <f>IFERROR(VLOOKUP($B28,テーブル12[],4,FALSE),"")</f>
        <v/>
      </c>
      <c r="H28" s="25" t="str">
        <f t="shared" si="0"/>
        <v/>
      </c>
      <c r="I28" s="31" t="str">
        <f t="shared" si="1"/>
        <v/>
      </c>
    </row>
    <row r="29" spans="4:9">
      <c r="D29" s="27" t="str">
        <f>IFERROR(VLOOKUP(A29,テーブル11[],2,FALSE),"")</f>
        <v/>
      </c>
      <c r="E29" s="25" t="str">
        <f>IFERROR(VLOOKUP($B29,テーブル12[],2,FALSE),"")</f>
        <v/>
      </c>
      <c r="F29" s="25" t="str">
        <f>IFERROR(VLOOKUP($B29,テーブル12[],3,FALSE),"")</f>
        <v/>
      </c>
      <c r="G29" s="31" t="str">
        <f>IFERROR(VLOOKUP($B29,テーブル12[],4,FALSE),"")</f>
        <v/>
      </c>
      <c r="H29" s="25" t="str">
        <f t="shared" si="0"/>
        <v/>
      </c>
      <c r="I29" s="31" t="str">
        <f t="shared" si="1"/>
        <v/>
      </c>
    </row>
    <row r="30" spans="4:9">
      <c r="D30" s="27" t="str">
        <f>IFERROR(VLOOKUP(A30,テーブル11[],2,FALSE),"")</f>
        <v/>
      </c>
      <c r="E30" s="25" t="str">
        <f>IFERROR(VLOOKUP($B30,テーブル12[],2,FALSE),"")</f>
        <v/>
      </c>
      <c r="F30" s="25" t="str">
        <f>IFERROR(VLOOKUP($B30,テーブル12[],3,FALSE),"")</f>
        <v/>
      </c>
      <c r="G30" s="31" t="str">
        <f>IFERROR(VLOOKUP($B30,テーブル12[],4,FALSE),"")</f>
        <v/>
      </c>
      <c r="H30" s="25" t="str">
        <f t="shared" si="0"/>
        <v/>
      </c>
      <c r="I30" s="31" t="str">
        <f t="shared" si="1"/>
        <v/>
      </c>
    </row>
    <row r="31" spans="4:9">
      <c r="D31" s="27" t="str">
        <f>IFERROR(VLOOKUP(A31,テーブル11[],2,FALSE),"")</f>
        <v/>
      </c>
      <c r="E31" s="25" t="str">
        <f>IFERROR(VLOOKUP($B31,テーブル12[],2,FALSE),"")</f>
        <v/>
      </c>
      <c r="F31" s="25" t="str">
        <f>IFERROR(VLOOKUP($B31,テーブル12[],3,FALSE),"")</f>
        <v/>
      </c>
      <c r="G31" s="31" t="str">
        <f>IFERROR(VLOOKUP($B31,テーブル12[],4,FALSE),"")</f>
        <v/>
      </c>
      <c r="H31" s="25" t="str">
        <f t="shared" si="0"/>
        <v/>
      </c>
      <c r="I31" s="31" t="str">
        <f t="shared" si="1"/>
        <v/>
      </c>
    </row>
    <row r="32" spans="4:9">
      <c r="D32" s="27" t="str">
        <f>IFERROR(VLOOKUP(A32,テーブル11[],2,FALSE),"")</f>
        <v/>
      </c>
      <c r="E32" s="25" t="str">
        <f>IFERROR(VLOOKUP($B32,テーブル12[],2,FALSE),"")</f>
        <v/>
      </c>
      <c r="F32" s="25" t="str">
        <f>IFERROR(VLOOKUP($B32,テーブル12[],3,FALSE),"")</f>
        <v/>
      </c>
      <c r="G32" s="31" t="str">
        <f>IFERROR(VLOOKUP($B32,テーブル12[],4,FALSE),"")</f>
        <v/>
      </c>
      <c r="H32" s="25" t="str">
        <f t="shared" si="0"/>
        <v/>
      </c>
      <c r="I32" s="31" t="str">
        <f t="shared" si="1"/>
        <v/>
      </c>
    </row>
    <row r="33" spans="4:9">
      <c r="D33" s="27" t="str">
        <f>IFERROR(VLOOKUP(A33,テーブル11[],2,FALSE),"")</f>
        <v/>
      </c>
      <c r="E33" s="25" t="str">
        <f>IFERROR(VLOOKUP($B33,テーブル12[],2,FALSE),"")</f>
        <v/>
      </c>
      <c r="F33" s="25" t="str">
        <f>IFERROR(VLOOKUP($B33,テーブル12[],3,FALSE),"")</f>
        <v/>
      </c>
      <c r="G33" s="31" t="str">
        <f>IFERROR(VLOOKUP($B33,テーブル12[],4,FALSE),"")</f>
        <v/>
      </c>
      <c r="H33" s="25" t="str">
        <f t="shared" si="0"/>
        <v/>
      </c>
      <c r="I33" s="31" t="str">
        <f t="shared" si="1"/>
        <v/>
      </c>
    </row>
    <row r="34" spans="4:9">
      <c r="D34" s="27" t="str">
        <f>IFERROR(VLOOKUP(A34,テーブル11[],2,FALSE),"")</f>
        <v/>
      </c>
      <c r="E34" s="25" t="str">
        <f>IFERROR(VLOOKUP($B34,テーブル12[],2,FALSE),"")</f>
        <v/>
      </c>
      <c r="F34" s="25" t="str">
        <f>IFERROR(VLOOKUP($B34,テーブル12[],3,FALSE),"")</f>
        <v/>
      </c>
      <c r="G34" s="31" t="str">
        <f>IFERROR(VLOOKUP($B34,テーブル12[],4,FALSE),"")</f>
        <v/>
      </c>
      <c r="H34" s="25" t="str">
        <f t="shared" si="0"/>
        <v/>
      </c>
      <c r="I34" s="31" t="str">
        <f t="shared" si="1"/>
        <v/>
      </c>
    </row>
    <row r="35" spans="4:9">
      <c r="D35" s="27" t="str">
        <f>IFERROR(VLOOKUP(A35,テーブル11[],2,FALSE),"")</f>
        <v/>
      </c>
      <c r="E35" s="25" t="str">
        <f>IFERROR(VLOOKUP($B35,テーブル12[],2,FALSE),"")</f>
        <v/>
      </c>
      <c r="F35" s="25" t="str">
        <f>IFERROR(VLOOKUP($B35,テーブル12[],3,FALSE),"")</f>
        <v/>
      </c>
      <c r="G35" s="31" t="str">
        <f>IFERROR(VLOOKUP($B35,テーブル12[],4,FALSE),"")</f>
        <v/>
      </c>
      <c r="H35" s="25" t="str">
        <f t="shared" si="0"/>
        <v/>
      </c>
      <c r="I35" s="31" t="str">
        <f t="shared" si="1"/>
        <v/>
      </c>
    </row>
    <row r="36" spans="4:9">
      <c r="D36" s="27" t="str">
        <f>IFERROR(VLOOKUP(A36,テーブル11[],2,FALSE),"")</f>
        <v/>
      </c>
      <c r="E36" s="25" t="str">
        <f>IFERROR(VLOOKUP($B36,テーブル12[],2,FALSE),"")</f>
        <v/>
      </c>
      <c r="F36" s="25" t="str">
        <f>IFERROR(VLOOKUP($B36,テーブル12[],3,FALSE),"")</f>
        <v/>
      </c>
      <c r="G36" s="31" t="str">
        <f>IFERROR(VLOOKUP($B36,テーブル12[],4,FALSE),"")</f>
        <v/>
      </c>
      <c r="H36" s="25" t="str">
        <f t="shared" si="0"/>
        <v/>
      </c>
      <c r="I36" s="31" t="str">
        <f t="shared" si="1"/>
        <v/>
      </c>
    </row>
    <row r="37" spans="4:9">
      <c r="D37" s="27" t="str">
        <f>IFERROR(VLOOKUP(A37,テーブル11[],2,FALSE),"")</f>
        <v/>
      </c>
      <c r="E37" s="25" t="str">
        <f>IFERROR(VLOOKUP($B37,テーブル12[],2,FALSE),"")</f>
        <v/>
      </c>
      <c r="F37" s="25" t="str">
        <f>IFERROR(VLOOKUP($B37,テーブル12[],3,FALSE),"")</f>
        <v/>
      </c>
      <c r="G37" s="31" t="str">
        <f>IFERROR(VLOOKUP($B37,テーブル12[],4,FALSE),"")</f>
        <v/>
      </c>
      <c r="H37" s="25" t="str">
        <f t="shared" si="0"/>
        <v/>
      </c>
      <c r="I37" s="31" t="str">
        <f t="shared" si="1"/>
        <v/>
      </c>
    </row>
    <row r="38" spans="4:9">
      <c r="D38" s="27" t="str">
        <f>IFERROR(VLOOKUP(A38,テーブル11[],2,FALSE),"")</f>
        <v/>
      </c>
      <c r="E38" s="25" t="str">
        <f>IFERROR(VLOOKUP($B38,テーブル12[],2,FALSE),"")</f>
        <v/>
      </c>
      <c r="F38" s="25" t="str">
        <f>IFERROR(VLOOKUP($B38,テーブル12[],3,FALSE),"")</f>
        <v/>
      </c>
      <c r="G38" s="31" t="str">
        <f>IFERROR(VLOOKUP($B38,テーブル12[],4,FALSE),"")</f>
        <v/>
      </c>
      <c r="H38" s="25" t="str">
        <f t="shared" si="0"/>
        <v/>
      </c>
      <c r="I38" s="31" t="str">
        <f t="shared" si="1"/>
        <v/>
      </c>
    </row>
    <row r="39" spans="4:9">
      <c r="D39" s="27" t="str">
        <f>IFERROR(VLOOKUP(A39,テーブル11[],2,FALSE),"")</f>
        <v/>
      </c>
      <c r="E39" s="25" t="str">
        <f>IFERROR(VLOOKUP($B39,テーブル12[],2,FALSE),"")</f>
        <v/>
      </c>
      <c r="F39" s="25" t="str">
        <f>IFERROR(VLOOKUP($B39,テーブル12[],3,FALSE),"")</f>
        <v/>
      </c>
      <c r="G39" s="31" t="str">
        <f>IFERROR(VLOOKUP($B39,テーブル12[],4,FALSE),"")</f>
        <v/>
      </c>
      <c r="H39" s="25" t="str">
        <f t="shared" si="0"/>
        <v/>
      </c>
      <c r="I39" s="31" t="str">
        <f t="shared" si="1"/>
        <v/>
      </c>
    </row>
    <row r="40" spans="4:9">
      <c r="D40" s="27" t="str">
        <f>IFERROR(VLOOKUP(A40,テーブル11[],2,FALSE),"")</f>
        <v/>
      </c>
      <c r="E40" s="25" t="str">
        <f>IFERROR(VLOOKUP($B40,テーブル12[],2,FALSE),"")</f>
        <v/>
      </c>
      <c r="F40" s="25" t="str">
        <f>IFERROR(VLOOKUP($B40,テーブル12[],3,FALSE),"")</f>
        <v/>
      </c>
      <c r="G40" s="31" t="str">
        <f>IFERROR(VLOOKUP($B40,テーブル12[],4,FALSE),"")</f>
        <v/>
      </c>
      <c r="H40" s="25" t="str">
        <f t="shared" si="0"/>
        <v/>
      </c>
      <c r="I40" s="31" t="str">
        <f t="shared" si="1"/>
        <v/>
      </c>
    </row>
    <row r="41" spans="4:9">
      <c r="D41" s="27" t="str">
        <f>IFERROR(VLOOKUP(A41,テーブル11[],2,FALSE),"")</f>
        <v/>
      </c>
      <c r="E41" s="25" t="str">
        <f>IFERROR(VLOOKUP($B41,テーブル12[],2,FALSE),"")</f>
        <v/>
      </c>
      <c r="F41" s="25" t="str">
        <f>IFERROR(VLOOKUP($B41,テーブル12[],3,FALSE),"")</f>
        <v/>
      </c>
      <c r="G41" s="31" t="str">
        <f>IFERROR(VLOOKUP($B41,テーブル12[],4,FALSE),"")</f>
        <v/>
      </c>
      <c r="H41" s="25" t="str">
        <f t="shared" si="0"/>
        <v/>
      </c>
      <c r="I41" s="31" t="str">
        <f t="shared" si="1"/>
        <v/>
      </c>
    </row>
    <row r="42" spans="4:9">
      <c r="D42" s="27" t="str">
        <f>IFERROR(VLOOKUP(A42,テーブル11[],2,FALSE),"")</f>
        <v/>
      </c>
      <c r="E42" s="25" t="str">
        <f>IFERROR(VLOOKUP($B42,テーブル12[],2,FALSE),"")</f>
        <v/>
      </c>
      <c r="F42" s="25" t="str">
        <f>IFERROR(VLOOKUP($B42,テーブル12[],3,FALSE),"")</f>
        <v/>
      </c>
      <c r="G42" s="31" t="str">
        <f>IFERROR(VLOOKUP($B42,テーブル12[],4,FALSE),"")</f>
        <v/>
      </c>
      <c r="H42" s="25" t="str">
        <f t="shared" si="0"/>
        <v/>
      </c>
      <c r="I42" s="31" t="str">
        <f t="shared" si="1"/>
        <v/>
      </c>
    </row>
    <row r="43" spans="4:9">
      <c r="D43" s="27" t="str">
        <f>IFERROR(VLOOKUP(A43,テーブル11[],2,FALSE),"")</f>
        <v/>
      </c>
      <c r="E43" s="25" t="str">
        <f>IFERROR(VLOOKUP($B43,テーブル12[],2,FALSE),"")</f>
        <v/>
      </c>
      <c r="F43" s="25" t="str">
        <f>IFERROR(VLOOKUP($B43,テーブル12[],3,FALSE),"")</f>
        <v/>
      </c>
      <c r="G43" s="31" t="str">
        <f>IFERROR(VLOOKUP($B43,テーブル12[],4,FALSE),"")</f>
        <v/>
      </c>
      <c r="H43" s="25" t="str">
        <f t="shared" si="0"/>
        <v/>
      </c>
      <c r="I43" s="31" t="str">
        <f t="shared" si="1"/>
        <v/>
      </c>
    </row>
    <row r="44" spans="4:9">
      <c r="D44" s="27" t="str">
        <f>IFERROR(VLOOKUP(A44,テーブル11[],2,FALSE),"")</f>
        <v/>
      </c>
      <c r="E44" s="25" t="str">
        <f>IFERROR(VLOOKUP($B44,テーブル12[],2,FALSE),"")</f>
        <v/>
      </c>
      <c r="F44" s="25" t="str">
        <f>IFERROR(VLOOKUP($B44,テーブル12[],3,FALSE),"")</f>
        <v/>
      </c>
      <c r="G44" s="31" t="str">
        <f>IFERROR(VLOOKUP($B44,テーブル12[],4,FALSE),"")</f>
        <v/>
      </c>
      <c r="H44" s="25" t="str">
        <f t="shared" si="0"/>
        <v/>
      </c>
      <c r="I44" s="31" t="str">
        <f t="shared" si="1"/>
        <v/>
      </c>
    </row>
    <row r="45" spans="4:9">
      <c r="D45" s="27" t="str">
        <f>IFERROR(VLOOKUP(A45,テーブル11[],2,FALSE),"")</f>
        <v/>
      </c>
      <c r="E45" s="25" t="str">
        <f>IFERROR(VLOOKUP($B45,テーブル12[],2,FALSE),"")</f>
        <v/>
      </c>
      <c r="F45" s="25" t="str">
        <f>IFERROR(VLOOKUP($B45,テーブル12[],3,FALSE),"")</f>
        <v/>
      </c>
      <c r="G45" s="31" t="str">
        <f>IFERROR(VLOOKUP($B45,テーブル12[],4,FALSE),"")</f>
        <v/>
      </c>
      <c r="H45" s="25" t="str">
        <f t="shared" si="0"/>
        <v/>
      </c>
      <c r="I45" s="31" t="str">
        <f t="shared" si="1"/>
        <v/>
      </c>
    </row>
    <row r="46" spans="4:9">
      <c r="D46" s="27" t="str">
        <f>IFERROR(VLOOKUP(A46,テーブル11[],2,FALSE),"")</f>
        <v/>
      </c>
      <c r="E46" s="25" t="str">
        <f>IFERROR(VLOOKUP($B46,テーブル12[],2,FALSE),"")</f>
        <v/>
      </c>
      <c r="F46" s="25" t="str">
        <f>IFERROR(VLOOKUP($B46,テーブル12[],3,FALSE),"")</f>
        <v/>
      </c>
      <c r="G46" s="31" t="str">
        <f>IFERROR(VLOOKUP($B46,テーブル12[],4,FALSE),"")</f>
        <v/>
      </c>
      <c r="H46" s="25" t="str">
        <f t="shared" si="0"/>
        <v/>
      </c>
      <c r="I46" s="31" t="str">
        <f t="shared" si="1"/>
        <v/>
      </c>
    </row>
    <row r="47" spans="4:9">
      <c r="D47" s="27" t="str">
        <f>IFERROR(VLOOKUP(A47,テーブル11[],2,FALSE),"")</f>
        <v/>
      </c>
      <c r="E47" s="25" t="str">
        <f>IFERROR(VLOOKUP($B47,テーブル12[],2,FALSE),"")</f>
        <v/>
      </c>
      <c r="F47" s="25" t="str">
        <f>IFERROR(VLOOKUP($B47,テーブル12[],3,FALSE),"")</f>
        <v/>
      </c>
      <c r="G47" s="31" t="str">
        <f>IFERROR(VLOOKUP($B47,テーブル12[],4,FALSE),"")</f>
        <v/>
      </c>
      <c r="H47" s="25" t="str">
        <f t="shared" si="0"/>
        <v/>
      </c>
      <c r="I47" s="31" t="str">
        <f t="shared" si="1"/>
        <v/>
      </c>
    </row>
    <row r="48" spans="4:9">
      <c r="D48" s="27" t="str">
        <f>IFERROR(VLOOKUP(A48,テーブル11[],2,FALSE),"")</f>
        <v/>
      </c>
      <c r="E48" s="25" t="str">
        <f>IFERROR(VLOOKUP($B48,テーブル12[],2,FALSE),"")</f>
        <v/>
      </c>
      <c r="F48" s="25" t="str">
        <f>IFERROR(VLOOKUP($B48,テーブル12[],3,FALSE),"")</f>
        <v/>
      </c>
      <c r="G48" s="31" t="str">
        <f>IFERROR(VLOOKUP($B48,テーブル12[],4,FALSE),"")</f>
        <v/>
      </c>
      <c r="H48" s="25" t="str">
        <f t="shared" si="0"/>
        <v/>
      </c>
      <c r="I48" s="31" t="str">
        <f t="shared" si="1"/>
        <v/>
      </c>
    </row>
    <row r="49" spans="4:9">
      <c r="D49" s="27" t="str">
        <f>IFERROR(VLOOKUP(A49,テーブル11[],2,FALSE),"")</f>
        <v/>
      </c>
      <c r="E49" s="25" t="str">
        <f>IFERROR(VLOOKUP($B49,テーブル12[],2,FALSE),"")</f>
        <v/>
      </c>
      <c r="F49" s="25" t="str">
        <f>IFERROR(VLOOKUP($B49,テーブル12[],3,FALSE),"")</f>
        <v/>
      </c>
      <c r="G49" s="31" t="str">
        <f>IFERROR(VLOOKUP($B49,テーブル12[],4,FALSE),"")</f>
        <v/>
      </c>
      <c r="H49" s="25" t="str">
        <f t="shared" si="0"/>
        <v/>
      </c>
      <c r="I49" s="31" t="str">
        <f t="shared" si="1"/>
        <v/>
      </c>
    </row>
    <row r="50" spans="4:9">
      <c r="D50" s="27" t="str">
        <f>IFERROR(VLOOKUP(A50,テーブル11[],2,FALSE),"")</f>
        <v/>
      </c>
      <c r="E50" s="25" t="str">
        <f>IFERROR(VLOOKUP($B50,テーブル12[],2,FALSE),"")</f>
        <v/>
      </c>
      <c r="F50" s="25" t="str">
        <f>IFERROR(VLOOKUP($B50,テーブル12[],3,FALSE),"")</f>
        <v/>
      </c>
      <c r="G50" s="31" t="str">
        <f>IFERROR(VLOOKUP($B50,テーブル12[],4,FALSE),"")</f>
        <v/>
      </c>
      <c r="H50" s="25" t="str">
        <f t="shared" si="0"/>
        <v/>
      </c>
      <c r="I50" s="31" t="str">
        <f t="shared" si="1"/>
        <v/>
      </c>
    </row>
    <row r="51" spans="4:9">
      <c r="D51" s="27" t="str">
        <f>IFERROR(VLOOKUP(A51,テーブル11[],2,FALSE),"")</f>
        <v/>
      </c>
      <c r="E51" s="25" t="str">
        <f>IFERROR(VLOOKUP($B51,テーブル12[],2,FALSE),"")</f>
        <v/>
      </c>
      <c r="F51" s="25" t="str">
        <f>IFERROR(VLOOKUP($B51,テーブル12[],3,FALSE),"")</f>
        <v/>
      </c>
      <c r="G51" s="31" t="str">
        <f>IFERROR(VLOOKUP($B51,テーブル12[],4,FALSE),"")</f>
        <v/>
      </c>
      <c r="H51" s="25" t="str">
        <f t="shared" si="0"/>
        <v/>
      </c>
      <c r="I51" s="31" t="str">
        <f t="shared" si="1"/>
        <v/>
      </c>
    </row>
    <row r="52" spans="4:9">
      <c r="D52" s="27" t="str">
        <f>IFERROR(VLOOKUP(A52,テーブル11[],2,FALSE),"")</f>
        <v/>
      </c>
      <c r="E52" s="25" t="str">
        <f>IFERROR(VLOOKUP($B52,テーブル12[],2,FALSE),"")</f>
        <v/>
      </c>
      <c r="F52" s="25" t="str">
        <f>IFERROR(VLOOKUP($B52,テーブル12[],3,FALSE),"")</f>
        <v/>
      </c>
      <c r="G52" s="31" t="str">
        <f>IFERROR(VLOOKUP($B52,テーブル12[],4,FALSE),"")</f>
        <v/>
      </c>
      <c r="H52" s="25" t="str">
        <f t="shared" si="0"/>
        <v/>
      </c>
      <c r="I52" s="31" t="str">
        <f t="shared" si="1"/>
        <v/>
      </c>
    </row>
    <row r="53" spans="4:9">
      <c r="D53" s="27" t="str">
        <f>IFERROR(VLOOKUP(A53,テーブル11[],2,FALSE),"")</f>
        <v/>
      </c>
      <c r="E53" s="25" t="str">
        <f>IFERROR(VLOOKUP($B53,テーブル12[],2,FALSE),"")</f>
        <v/>
      </c>
      <c r="F53" s="25" t="str">
        <f>IFERROR(VLOOKUP($B53,テーブル12[],3,FALSE),"")</f>
        <v/>
      </c>
      <c r="G53" s="31" t="str">
        <f>IFERROR(VLOOKUP($B53,テーブル12[],4,FALSE),"")</f>
        <v/>
      </c>
      <c r="H53" s="25" t="str">
        <f t="shared" si="0"/>
        <v/>
      </c>
      <c r="I53" s="31" t="str">
        <f t="shared" si="1"/>
        <v/>
      </c>
    </row>
    <row r="54" spans="4:9">
      <c r="D54" s="27" t="str">
        <f>IFERROR(VLOOKUP(A54,テーブル11[],2,FALSE),"")</f>
        <v/>
      </c>
      <c r="E54" s="25" t="str">
        <f>IFERROR(VLOOKUP($B54,テーブル12[],2,FALSE),"")</f>
        <v/>
      </c>
      <c r="F54" s="25" t="str">
        <f>IFERROR(VLOOKUP($B54,テーブル12[],3,FALSE),"")</f>
        <v/>
      </c>
      <c r="G54" s="31" t="str">
        <f>IFERROR(VLOOKUP($B54,テーブル12[],4,FALSE),"")</f>
        <v/>
      </c>
      <c r="H54" s="25" t="str">
        <f t="shared" si="0"/>
        <v/>
      </c>
      <c r="I54" s="31" t="str">
        <f t="shared" si="1"/>
        <v/>
      </c>
    </row>
    <row r="55" spans="4:9">
      <c r="D55" s="27" t="str">
        <f>IFERROR(VLOOKUP(A55,テーブル11[],2,FALSE),"")</f>
        <v/>
      </c>
      <c r="E55" s="25" t="str">
        <f>IFERROR(VLOOKUP($B55,テーブル12[],2,FALSE),"")</f>
        <v/>
      </c>
      <c r="F55" s="25" t="str">
        <f>IFERROR(VLOOKUP($B55,テーブル12[],3,FALSE),"")</f>
        <v/>
      </c>
      <c r="G55" s="31" t="str">
        <f>IFERROR(VLOOKUP($B55,テーブル12[],4,FALSE),"")</f>
        <v/>
      </c>
      <c r="H55" s="25" t="str">
        <f t="shared" si="0"/>
        <v/>
      </c>
      <c r="I55" s="31" t="str">
        <f t="shared" si="1"/>
        <v/>
      </c>
    </row>
    <row r="56" spans="4:9">
      <c r="D56" s="27" t="str">
        <f>IFERROR(VLOOKUP(A56,テーブル11[],2,FALSE),"")</f>
        <v/>
      </c>
      <c r="E56" s="25" t="str">
        <f>IFERROR(VLOOKUP($B56,テーブル12[],2,FALSE),"")</f>
        <v/>
      </c>
      <c r="F56" s="25" t="str">
        <f>IFERROR(VLOOKUP($B56,テーブル12[],3,FALSE),"")</f>
        <v/>
      </c>
      <c r="G56" s="31" t="str">
        <f>IFERROR(VLOOKUP($B56,テーブル12[],4,FALSE),"")</f>
        <v/>
      </c>
      <c r="H56" s="25" t="str">
        <f t="shared" si="0"/>
        <v/>
      </c>
      <c r="I56" s="31" t="str">
        <f t="shared" si="1"/>
        <v/>
      </c>
    </row>
    <row r="57" spans="4:9">
      <c r="D57" s="27" t="str">
        <f>IFERROR(VLOOKUP(A57,テーブル11[],2,FALSE),"")</f>
        <v/>
      </c>
      <c r="E57" s="25" t="str">
        <f>IFERROR(VLOOKUP($B57,テーブル12[],2,FALSE),"")</f>
        <v/>
      </c>
      <c r="F57" s="25" t="str">
        <f>IFERROR(VLOOKUP($B57,テーブル12[],3,FALSE),"")</f>
        <v/>
      </c>
      <c r="G57" s="31" t="str">
        <f>IFERROR(VLOOKUP($B57,テーブル12[],4,FALSE),"")</f>
        <v/>
      </c>
      <c r="H57" s="25" t="str">
        <f t="shared" si="0"/>
        <v/>
      </c>
      <c r="I57" s="31" t="str">
        <f t="shared" si="1"/>
        <v/>
      </c>
    </row>
    <row r="58" spans="4:9">
      <c r="D58" s="27" t="str">
        <f>IFERROR(VLOOKUP(A58,テーブル11[],2,FALSE),"")</f>
        <v/>
      </c>
      <c r="E58" s="25" t="str">
        <f>IFERROR(VLOOKUP($B58,テーブル12[],2,FALSE),"")</f>
        <v/>
      </c>
      <c r="F58" s="25" t="str">
        <f>IFERROR(VLOOKUP($B58,テーブル12[],3,FALSE),"")</f>
        <v/>
      </c>
      <c r="G58" s="31" t="str">
        <f>IFERROR(VLOOKUP($B58,テーブル12[],4,FALSE),"")</f>
        <v/>
      </c>
      <c r="H58" s="25" t="str">
        <f t="shared" si="0"/>
        <v/>
      </c>
      <c r="I58" s="31" t="str">
        <f t="shared" si="1"/>
        <v/>
      </c>
    </row>
    <row r="59" spans="4:9">
      <c r="D59" s="27" t="str">
        <f>IFERROR(VLOOKUP(A59,テーブル11[],2,FALSE),"")</f>
        <v/>
      </c>
      <c r="E59" s="25" t="str">
        <f>IFERROR(VLOOKUP($B59,テーブル12[],2,FALSE),"")</f>
        <v/>
      </c>
      <c r="F59" s="25" t="str">
        <f>IFERROR(VLOOKUP($B59,テーブル12[],3,FALSE),"")</f>
        <v/>
      </c>
      <c r="G59" s="31" t="str">
        <f>IFERROR(VLOOKUP($B59,テーブル12[],4,FALSE),"")</f>
        <v/>
      </c>
      <c r="H59" s="25" t="str">
        <f t="shared" si="0"/>
        <v/>
      </c>
      <c r="I59" s="31" t="str">
        <f t="shared" si="1"/>
        <v/>
      </c>
    </row>
    <row r="60" spans="4:9">
      <c r="D60" s="27" t="str">
        <f>IFERROR(VLOOKUP(A60,テーブル11[],2,FALSE),"")</f>
        <v/>
      </c>
      <c r="E60" s="25" t="str">
        <f>IFERROR(VLOOKUP($B60,テーブル12[],2,FALSE),"")</f>
        <v/>
      </c>
      <c r="F60" s="25" t="str">
        <f>IFERROR(VLOOKUP($B60,テーブル12[],3,FALSE),"")</f>
        <v/>
      </c>
      <c r="G60" s="31" t="str">
        <f>IFERROR(VLOOKUP($B60,テーブル12[],4,FALSE),"")</f>
        <v/>
      </c>
      <c r="H60" s="25" t="str">
        <f t="shared" si="0"/>
        <v/>
      </c>
      <c r="I60" s="31" t="str">
        <f t="shared" si="1"/>
        <v/>
      </c>
    </row>
    <row r="61" spans="4:9">
      <c r="D61" s="27" t="str">
        <f>IFERROR(VLOOKUP(A61,テーブル11[],2,FALSE),"")</f>
        <v/>
      </c>
      <c r="E61" s="25" t="str">
        <f>IFERROR(VLOOKUP($B61,テーブル12[],2,FALSE),"")</f>
        <v/>
      </c>
      <c r="F61" s="25" t="str">
        <f>IFERROR(VLOOKUP($B61,テーブル12[],3,FALSE),"")</f>
        <v/>
      </c>
      <c r="G61" s="31" t="str">
        <f>IFERROR(VLOOKUP($B61,テーブル12[],4,FALSE),"")</f>
        <v/>
      </c>
      <c r="H61" s="25" t="str">
        <f t="shared" si="0"/>
        <v/>
      </c>
      <c r="I61" s="31" t="str">
        <f t="shared" si="1"/>
        <v/>
      </c>
    </row>
    <row r="62" spans="4:9">
      <c r="D62" s="27" t="str">
        <f>IFERROR(VLOOKUP(A62,テーブル11[],2,FALSE),"")</f>
        <v/>
      </c>
      <c r="E62" s="25" t="str">
        <f>IFERROR(VLOOKUP($B62,テーブル12[],2,FALSE),"")</f>
        <v/>
      </c>
      <c r="F62" s="25" t="str">
        <f>IFERROR(VLOOKUP($B62,テーブル12[],3,FALSE),"")</f>
        <v/>
      </c>
      <c r="G62" s="31" t="str">
        <f>IFERROR(VLOOKUP($B62,テーブル12[],4,FALSE),"")</f>
        <v/>
      </c>
      <c r="H62" s="25" t="str">
        <f t="shared" si="0"/>
        <v/>
      </c>
      <c r="I62" s="31" t="str">
        <f t="shared" si="1"/>
        <v/>
      </c>
    </row>
    <row r="63" spans="4:9">
      <c r="D63" s="27" t="str">
        <f>IFERROR(VLOOKUP(A63,テーブル11[],2,FALSE),"")</f>
        <v/>
      </c>
      <c r="E63" s="25" t="str">
        <f>IFERROR(VLOOKUP($B63,テーブル12[],2,FALSE),"")</f>
        <v/>
      </c>
      <c r="F63" s="25" t="str">
        <f>IFERROR(VLOOKUP($B63,テーブル12[],3,FALSE),"")</f>
        <v/>
      </c>
      <c r="G63" s="31" t="str">
        <f>IFERROR(VLOOKUP($B63,テーブル12[],4,FALSE),"")</f>
        <v/>
      </c>
      <c r="H63" s="25" t="str">
        <f t="shared" si="0"/>
        <v/>
      </c>
      <c r="I63" s="31" t="str">
        <f t="shared" si="1"/>
        <v/>
      </c>
    </row>
    <row r="64" spans="4:9">
      <c r="D64" s="27" t="str">
        <f>IFERROR(VLOOKUP(A64,テーブル11[],2,FALSE),"")</f>
        <v/>
      </c>
      <c r="E64" s="25" t="str">
        <f>IFERROR(VLOOKUP($B64,テーブル12[],2,FALSE),"")</f>
        <v/>
      </c>
      <c r="F64" s="25" t="str">
        <f>IFERROR(VLOOKUP($B64,テーブル12[],3,FALSE),"")</f>
        <v/>
      </c>
      <c r="G64" s="31" t="str">
        <f>IFERROR(VLOOKUP($B64,テーブル12[],4,FALSE),"")</f>
        <v/>
      </c>
      <c r="H64" s="25" t="str">
        <f t="shared" si="0"/>
        <v/>
      </c>
      <c r="I64" s="31" t="str">
        <f t="shared" si="1"/>
        <v/>
      </c>
    </row>
    <row r="65" spans="4:9">
      <c r="D65" s="27" t="str">
        <f>IFERROR(VLOOKUP(A65,テーブル11[],2,FALSE),"")</f>
        <v/>
      </c>
      <c r="E65" s="25" t="str">
        <f>IFERROR(VLOOKUP($B65,テーブル12[],2,FALSE),"")</f>
        <v/>
      </c>
      <c r="F65" s="25" t="str">
        <f>IFERROR(VLOOKUP($B65,テーブル12[],3,FALSE),"")</f>
        <v/>
      </c>
      <c r="G65" s="31" t="str">
        <f>IFERROR(VLOOKUP($B65,テーブル12[],4,FALSE),"")</f>
        <v/>
      </c>
      <c r="H65" s="25" t="str">
        <f t="shared" si="0"/>
        <v/>
      </c>
      <c r="I65" s="31" t="str">
        <f t="shared" si="1"/>
        <v/>
      </c>
    </row>
    <row r="66" spans="4:9">
      <c r="D66" s="27" t="str">
        <f>IFERROR(VLOOKUP(A66,テーブル11[],2,FALSE),"")</f>
        <v/>
      </c>
      <c r="E66" s="25" t="str">
        <f>IFERROR(VLOOKUP($B66,テーブル12[],2,FALSE),"")</f>
        <v/>
      </c>
      <c r="F66" s="25" t="str">
        <f>IFERROR(VLOOKUP($B66,テーブル12[],3,FALSE),"")</f>
        <v/>
      </c>
      <c r="G66" s="31" t="str">
        <f>IFERROR(VLOOKUP($B66,テーブル12[],4,FALSE),"")</f>
        <v/>
      </c>
      <c r="H66" s="25" t="str">
        <f t="shared" ref="H66:H129" si="2">IF(C66=0,"",C66)</f>
        <v/>
      </c>
      <c r="I66" s="31" t="str">
        <f t="shared" ref="I66:I129" si="3">IF(C66=0,"",G66*C66)</f>
        <v/>
      </c>
    </row>
    <row r="67" spans="4:9">
      <c r="D67" s="27" t="str">
        <f>IFERROR(VLOOKUP(A67,テーブル11[],2,FALSE),"")</f>
        <v/>
      </c>
      <c r="E67" s="25" t="str">
        <f>IFERROR(VLOOKUP($B67,テーブル12[],2,FALSE),"")</f>
        <v/>
      </c>
      <c r="F67" s="25" t="str">
        <f>IFERROR(VLOOKUP($B67,テーブル12[],3,FALSE),"")</f>
        <v/>
      </c>
      <c r="G67" s="31" t="str">
        <f>IFERROR(VLOOKUP($B67,テーブル12[],4,FALSE),"")</f>
        <v/>
      </c>
      <c r="H67" s="25" t="str">
        <f t="shared" si="2"/>
        <v/>
      </c>
      <c r="I67" s="31" t="str">
        <f t="shared" si="3"/>
        <v/>
      </c>
    </row>
    <row r="68" spans="4:9">
      <c r="D68" s="27" t="str">
        <f>IFERROR(VLOOKUP(A68,テーブル11[],2,FALSE),"")</f>
        <v/>
      </c>
      <c r="E68" s="25" t="str">
        <f>IFERROR(VLOOKUP($B68,テーブル12[],2,FALSE),"")</f>
        <v/>
      </c>
      <c r="F68" s="25" t="str">
        <f>IFERROR(VLOOKUP($B68,テーブル12[],3,FALSE),"")</f>
        <v/>
      </c>
      <c r="G68" s="31" t="str">
        <f>IFERROR(VLOOKUP($B68,テーブル12[],4,FALSE),"")</f>
        <v/>
      </c>
      <c r="H68" s="25" t="str">
        <f t="shared" si="2"/>
        <v/>
      </c>
      <c r="I68" s="31" t="str">
        <f t="shared" si="3"/>
        <v/>
      </c>
    </row>
    <row r="69" spans="4:9">
      <c r="D69" s="27" t="str">
        <f>IFERROR(VLOOKUP(A69,テーブル11[],2,FALSE),"")</f>
        <v/>
      </c>
      <c r="E69" s="25" t="str">
        <f>IFERROR(VLOOKUP($B69,テーブル12[],2,FALSE),"")</f>
        <v/>
      </c>
      <c r="F69" s="25" t="str">
        <f>IFERROR(VLOOKUP($B69,テーブル12[],3,FALSE),"")</f>
        <v/>
      </c>
      <c r="G69" s="31" t="str">
        <f>IFERROR(VLOOKUP($B69,テーブル12[],4,FALSE),"")</f>
        <v/>
      </c>
      <c r="H69" s="25" t="str">
        <f t="shared" si="2"/>
        <v/>
      </c>
      <c r="I69" s="31" t="str">
        <f t="shared" si="3"/>
        <v/>
      </c>
    </row>
    <row r="70" spans="4:9">
      <c r="D70" s="27" t="str">
        <f>IFERROR(VLOOKUP(A70,テーブル11[],2,FALSE),"")</f>
        <v/>
      </c>
      <c r="E70" s="25" t="str">
        <f>IFERROR(VLOOKUP($B70,テーブル12[],2,FALSE),"")</f>
        <v/>
      </c>
      <c r="F70" s="25" t="str">
        <f>IFERROR(VLOOKUP($B70,テーブル12[],3,FALSE),"")</f>
        <v/>
      </c>
      <c r="G70" s="31" t="str">
        <f>IFERROR(VLOOKUP($B70,テーブル12[],4,FALSE),"")</f>
        <v/>
      </c>
      <c r="H70" s="25" t="str">
        <f t="shared" si="2"/>
        <v/>
      </c>
      <c r="I70" s="31" t="str">
        <f t="shared" si="3"/>
        <v/>
      </c>
    </row>
    <row r="71" spans="4:9">
      <c r="D71" s="27" t="str">
        <f>IFERROR(VLOOKUP(A71,テーブル11[],2,FALSE),"")</f>
        <v/>
      </c>
      <c r="E71" s="25" t="str">
        <f>IFERROR(VLOOKUP($B71,テーブル12[],2,FALSE),"")</f>
        <v/>
      </c>
      <c r="F71" s="25" t="str">
        <f>IFERROR(VLOOKUP($B71,テーブル12[],3,FALSE),"")</f>
        <v/>
      </c>
      <c r="G71" s="31" t="str">
        <f>IFERROR(VLOOKUP($B71,テーブル12[],4,FALSE),"")</f>
        <v/>
      </c>
      <c r="H71" s="25" t="str">
        <f t="shared" si="2"/>
        <v/>
      </c>
      <c r="I71" s="31" t="str">
        <f t="shared" si="3"/>
        <v/>
      </c>
    </row>
    <row r="72" spans="4:9">
      <c r="D72" s="27" t="str">
        <f>IFERROR(VLOOKUP(A72,テーブル11[],2,FALSE),"")</f>
        <v/>
      </c>
      <c r="E72" s="25" t="str">
        <f>IFERROR(VLOOKUP($B72,テーブル12[],2,FALSE),"")</f>
        <v/>
      </c>
      <c r="F72" s="25" t="str">
        <f>IFERROR(VLOOKUP($B72,テーブル12[],3,FALSE),"")</f>
        <v/>
      </c>
      <c r="G72" s="31" t="str">
        <f>IFERROR(VLOOKUP($B72,テーブル12[],4,FALSE),"")</f>
        <v/>
      </c>
      <c r="H72" s="25" t="str">
        <f t="shared" si="2"/>
        <v/>
      </c>
      <c r="I72" s="31" t="str">
        <f t="shared" si="3"/>
        <v/>
      </c>
    </row>
    <row r="73" spans="4:9">
      <c r="D73" s="27" t="str">
        <f>IFERROR(VLOOKUP(A73,テーブル11[],2,FALSE),"")</f>
        <v/>
      </c>
      <c r="E73" s="25" t="str">
        <f>IFERROR(VLOOKUP($B73,テーブル12[],2,FALSE),"")</f>
        <v/>
      </c>
      <c r="F73" s="25" t="str">
        <f>IFERROR(VLOOKUP($B73,テーブル12[],3,FALSE),"")</f>
        <v/>
      </c>
      <c r="G73" s="31" t="str">
        <f>IFERROR(VLOOKUP($B73,テーブル12[],4,FALSE),"")</f>
        <v/>
      </c>
      <c r="H73" s="25" t="str">
        <f t="shared" si="2"/>
        <v/>
      </c>
      <c r="I73" s="31" t="str">
        <f t="shared" si="3"/>
        <v/>
      </c>
    </row>
    <row r="74" spans="4:9">
      <c r="D74" s="27" t="str">
        <f>IFERROR(VLOOKUP(A74,テーブル11[],2,FALSE),"")</f>
        <v/>
      </c>
      <c r="E74" s="25" t="str">
        <f>IFERROR(VLOOKUP($B74,テーブル12[],2,FALSE),"")</f>
        <v/>
      </c>
      <c r="F74" s="25" t="str">
        <f>IFERROR(VLOOKUP($B74,テーブル12[],3,FALSE),"")</f>
        <v/>
      </c>
      <c r="G74" s="31" t="str">
        <f>IFERROR(VLOOKUP($B74,テーブル12[],4,FALSE),"")</f>
        <v/>
      </c>
      <c r="H74" s="25" t="str">
        <f t="shared" si="2"/>
        <v/>
      </c>
      <c r="I74" s="31" t="str">
        <f t="shared" si="3"/>
        <v/>
      </c>
    </row>
    <row r="75" spans="4:9">
      <c r="D75" s="27" t="str">
        <f>IFERROR(VLOOKUP(A75,テーブル11[],2,FALSE),"")</f>
        <v/>
      </c>
      <c r="E75" s="25" t="str">
        <f>IFERROR(VLOOKUP($B75,テーブル12[],2,FALSE),"")</f>
        <v/>
      </c>
      <c r="F75" s="25" t="str">
        <f>IFERROR(VLOOKUP($B75,テーブル12[],3,FALSE),"")</f>
        <v/>
      </c>
      <c r="G75" s="31" t="str">
        <f>IFERROR(VLOOKUP($B75,テーブル12[],4,FALSE),"")</f>
        <v/>
      </c>
      <c r="H75" s="25" t="str">
        <f t="shared" si="2"/>
        <v/>
      </c>
      <c r="I75" s="31" t="str">
        <f t="shared" si="3"/>
        <v/>
      </c>
    </row>
    <row r="76" spans="4:9">
      <c r="D76" s="27" t="str">
        <f>IFERROR(VLOOKUP(A76,テーブル11[],2,FALSE),"")</f>
        <v/>
      </c>
      <c r="E76" s="25" t="str">
        <f>IFERROR(VLOOKUP($B76,テーブル12[],2,FALSE),"")</f>
        <v/>
      </c>
      <c r="F76" s="25" t="str">
        <f>IFERROR(VLOOKUP($B76,テーブル12[],3,FALSE),"")</f>
        <v/>
      </c>
      <c r="G76" s="31" t="str">
        <f>IFERROR(VLOOKUP($B76,テーブル12[],4,FALSE),"")</f>
        <v/>
      </c>
      <c r="H76" s="25" t="str">
        <f t="shared" si="2"/>
        <v/>
      </c>
      <c r="I76" s="31" t="str">
        <f t="shared" si="3"/>
        <v/>
      </c>
    </row>
    <row r="77" spans="4:9">
      <c r="D77" s="27" t="str">
        <f>IFERROR(VLOOKUP(A77,テーブル11[],2,FALSE),"")</f>
        <v/>
      </c>
      <c r="E77" s="25" t="str">
        <f>IFERROR(VLOOKUP($B77,テーブル12[],2,FALSE),"")</f>
        <v/>
      </c>
      <c r="F77" s="25" t="str">
        <f>IFERROR(VLOOKUP($B77,テーブル12[],3,FALSE),"")</f>
        <v/>
      </c>
      <c r="G77" s="31" t="str">
        <f>IFERROR(VLOOKUP($B77,テーブル12[],4,FALSE),"")</f>
        <v/>
      </c>
      <c r="H77" s="25" t="str">
        <f t="shared" si="2"/>
        <v/>
      </c>
      <c r="I77" s="31" t="str">
        <f t="shared" si="3"/>
        <v/>
      </c>
    </row>
    <row r="78" spans="4:9">
      <c r="D78" s="27" t="str">
        <f>IFERROR(VLOOKUP(A78,テーブル11[],2,FALSE),"")</f>
        <v/>
      </c>
      <c r="E78" s="25" t="str">
        <f>IFERROR(VLOOKUP($B78,テーブル12[],2,FALSE),"")</f>
        <v/>
      </c>
      <c r="F78" s="25" t="str">
        <f>IFERROR(VLOOKUP($B78,テーブル12[],3,FALSE),"")</f>
        <v/>
      </c>
      <c r="G78" s="31" t="str">
        <f>IFERROR(VLOOKUP($B78,テーブル12[],4,FALSE),"")</f>
        <v/>
      </c>
      <c r="H78" s="25" t="str">
        <f t="shared" si="2"/>
        <v/>
      </c>
      <c r="I78" s="31" t="str">
        <f t="shared" si="3"/>
        <v/>
      </c>
    </row>
    <row r="79" spans="4:9">
      <c r="D79" s="27" t="str">
        <f>IFERROR(VLOOKUP(A79,テーブル11[],2,FALSE),"")</f>
        <v/>
      </c>
      <c r="E79" s="25" t="str">
        <f>IFERROR(VLOOKUP($B79,テーブル12[],2,FALSE),"")</f>
        <v/>
      </c>
      <c r="F79" s="25" t="str">
        <f>IFERROR(VLOOKUP($B79,テーブル12[],3,FALSE),"")</f>
        <v/>
      </c>
      <c r="G79" s="31" t="str">
        <f>IFERROR(VLOOKUP($B79,テーブル12[],4,FALSE),"")</f>
        <v/>
      </c>
      <c r="H79" s="25" t="str">
        <f t="shared" si="2"/>
        <v/>
      </c>
      <c r="I79" s="31" t="str">
        <f t="shared" si="3"/>
        <v/>
      </c>
    </row>
    <row r="80" spans="4:9">
      <c r="D80" s="27" t="str">
        <f>IFERROR(VLOOKUP(A80,テーブル11[],2,FALSE),"")</f>
        <v/>
      </c>
      <c r="E80" s="25" t="str">
        <f>IFERROR(VLOOKUP($B80,テーブル12[],2,FALSE),"")</f>
        <v/>
      </c>
      <c r="F80" s="25" t="str">
        <f>IFERROR(VLOOKUP($B80,テーブル12[],3,FALSE),"")</f>
        <v/>
      </c>
      <c r="G80" s="31" t="str">
        <f>IFERROR(VLOOKUP($B80,テーブル12[],4,FALSE),"")</f>
        <v/>
      </c>
      <c r="H80" s="25" t="str">
        <f t="shared" si="2"/>
        <v/>
      </c>
      <c r="I80" s="31" t="str">
        <f t="shared" si="3"/>
        <v/>
      </c>
    </row>
    <row r="81" spans="4:9">
      <c r="D81" s="27" t="str">
        <f>IFERROR(VLOOKUP(A81,テーブル11[],2,FALSE),"")</f>
        <v/>
      </c>
      <c r="E81" s="25" t="str">
        <f>IFERROR(VLOOKUP($B81,テーブル12[],2,FALSE),"")</f>
        <v/>
      </c>
      <c r="F81" s="25" t="str">
        <f>IFERROR(VLOOKUP($B81,テーブル12[],3,FALSE),"")</f>
        <v/>
      </c>
      <c r="G81" s="31" t="str">
        <f>IFERROR(VLOOKUP($B81,テーブル12[],4,FALSE),"")</f>
        <v/>
      </c>
      <c r="H81" s="25" t="str">
        <f t="shared" si="2"/>
        <v/>
      </c>
      <c r="I81" s="31" t="str">
        <f t="shared" si="3"/>
        <v/>
      </c>
    </row>
    <row r="82" spans="4:9">
      <c r="D82" s="27" t="str">
        <f>IFERROR(VLOOKUP(A82,テーブル11[],2,FALSE),"")</f>
        <v/>
      </c>
      <c r="E82" s="25" t="str">
        <f>IFERROR(VLOOKUP($B82,テーブル12[],2,FALSE),"")</f>
        <v/>
      </c>
      <c r="F82" s="25" t="str">
        <f>IFERROR(VLOOKUP($B82,テーブル12[],3,FALSE),"")</f>
        <v/>
      </c>
      <c r="G82" s="31" t="str">
        <f>IFERROR(VLOOKUP($B82,テーブル12[],4,FALSE),"")</f>
        <v/>
      </c>
      <c r="H82" s="25" t="str">
        <f t="shared" si="2"/>
        <v/>
      </c>
      <c r="I82" s="31" t="str">
        <f t="shared" si="3"/>
        <v/>
      </c>
    </row>
    <row r="83" spans="4:9">
      <c r="D83" s="27" t="str">
        <f>IFERROR(VLOOKUP(A83,テーブル11[],2,FALSE),"")</f>
        <v/>
      </c>
      <c r="E83" s="25" t="str">
        <f>IFERROR(VLOOKUP($B83,テーブル12[],2,FALSE),"")</f>
        <v/>
      </c>
      <c r="F83" s="25" t="str">
        <f>IFERROR(VLOOKUP($B83,テーブル12[],3,FALSE),"")</f>
        <v/>
      </c>
      <c r="G83" s="31" t="str">
        <f>IFERROR(VLOOKUP($B83,テーブル12[],4,FALSE),"")</f>
        <v/>
      </c>
      <c r="H83" s="25" t="str">
        <f t="shared" si="2"/>
        <v/>
      </c>
      <c r="I83" s="31" t="str">
        <f t="shared" si="3"/>
        <v/>
      </c>
    </row>
    <row r="84" spans="4:9">
      <c r="D84" s="27" t="str">
        <f>IFERROR(VLOOKUP(A84,テーブル11[],2,FALSE),"")</f>
        <v/>
      </c>
      <c r="E84" s="25" t="str">
        <f>IFERROR(VLOOKUP($B84,テーブル12[],2,FALSE),"")</f>
        <v/>
      </c>
      <c r="F84" s="25" t="str">
        <f>IFERROR(VLOOKUP($B84,テーブル12[],3,FALSE),"")</f>
        <v/>
      </c>
      <c r="G84" s="31" t="str">
        <f>IFERROR(VLOOKUP($B84,テーブル12[],4,FALSE),"")</f>
        <v/>
      </c>
      <c r="H84" s="25" t="str">
        <f t="shared" si="2"/>
        <v/>
      </c>
      <c r="I84" s="31" t="str">
        <f t="shared" si="3"/>
        <v/>
      </c>
    </row>
    <row r="85" spans="4:9">
      <c r="D85" s="27" t="str">
        <f>IFERROR(VLOOKUP(A85,テーブル11[],2,FALSE),"")</f>
        <v/>
      </c>
      <c r="E85" s="25" t="str">
        <f>IFERROR(VLOOKUP($B85,テーブル12[],2,FALSE),"")</f>
        <v/>
      </c>
      <c r="F85" s="25" t="str">
        <f>IFERROR(VLOOKUP($B85,テーブル12[],3,FALSE),"")</f>
        <v/>
      </c>
      <c r="G85" s="31" t="str">
        <f>IFERROR(VLOOKUP($B85,テーブル12[],4,FALSE),"")</f>
        <v/>
      </c>
      <c r="H85" s="25" t="str">
        <f t="shared" si="2"/>
        <v/>
      </c>
      <c r="I85" s="31" t="str">
        <f t="shared" si="3"/>
        <v/>
      </c>
    </row>
    <row r="86" spans="4:9">
      <c r="D86" s="27" t="str">
        <f>IFERROR(VLOOKUP(A86,テーブル11[],2,FALSE),"")</f>
        <v/>
      </c>
      <c r="E86" s="25" t="str">
        <f>IFERROR(VLOOKUP($B86,テーブル12[],2,FALSE),"")</f>
        <v/>
      </c>
      <c r="F86" s="25" t="str">
        <f>IFERROR(VLOOKUP($B86,テーブル12[],3,FALSE),"")</f>
        <v/>
      </c>
      <c r="G86" s="31" t="str">
        <f>IFERROR(VLOOKUP($B86,テーブル12[],4,FALSE),"")</f>
        <v/>
      </c>
      <c r="H86" s="25" t="str">
        <f t="shared" si="2"/>
        <v/>
      </c>
      <c r="I86" s="31" t="str">
        <f t="shared" si="3"/>
        <v/>
      </c>
    </row>
    <row r="87" spans="4:9">
      <c r="D87" s="27" t="str">
        <f>IFERROR(VLOOKUP(A87,テーブル11[],2,FALSE),"")</f>
        <v/>
      </c>
      <c r="E87" s="25" t="str">
        <f>IFERROR(VLOOKUP($B87,テーブル12[],2,FALSE),"")</f>
        <v/>
      </c>
      <c r="F87" s="25" t="str">
        <f>IFERROR(VLOOKUP($B87,テーブル12[],3,FALSE),"")</f>
        <v/>
      </c>
      <c r="G87" s="31" t="str">
        <f>IFERROR(VLOOKUP($B87,テーブル12[],4,FALSE),"")</f>
        <v/>
      </c>
      <c r="H87" s="25" t="str">
        <f t="shared" si="2"/>
        <v/>
      </c>
      <c r="I87" s="31" t="str">
        <f t="shared" si="3"/>
        <v/>
      </c>
    </row>
    <row r="88" spans="4:9">
      <c r="D88" s="27" t="str">
        <f>IFERROR(VLOOKUP(A88,テーブル11[],2,FALSE),"")</f>
        <v/>
      </c>
      <c r="E88" s="25" t="str">
        <f>IFERROR(VLOOKUP($B88,テーブル12[],2,FALSE),"")</f>
        <v/>
      </c>
      <c r="F88" s="25" t="str">
        <f>IFERROR(VLOOKUP($B88,テーブル12[],3,FALSE),"")</f>
        <v/>
      </c>
      <c r="G88" s="31" t="str">
        <f>IFERROR(VLOOKUP($B88,テーブル12[],4,FALSE),"")</f>
        <v/>
      </c>
      <c r="H88" s="25" t="str">
        <f t="shared" si="2"/>
        <v/>
      </c>
      <c r="I88" s="31" t="str">
        <f t="shared" si="3"/>
        <v/>
      </c>
    </row>
    <row r="89" spans="4:9">
      <c r="D89" s="27" t="str">
        <f>IFERROR(VLOOKUP(A89,テーブル11[],2,FALSE),"")</f>
        <v/>
      </c>
      <c r="E89" s="25" t="str">
        <f>IFERROR(VLOOKUP($B89,テーブル12[],2,FALSE),"")</f>
        <v/>
      </c>
      <c r="F89" s="25" t="str">
        <f>IFERROR(VLOOKUP($B89,テーブル12[],3,FALSE),"")</f>
        <v/>
      </c>
      <c r="G89" s="31" t="str">
        <f>IFERROR(VLOOKUP($B89,テーブル12[],4,FALSE),"")</f>
        <v/>
      </c>
      <c r="H89" s="25" t="str">
        <f t="shared" si="2"/>
        <v/>
      </c>
      <c r="I89" s="31" t="str">
        <f t="shared" si="3"/>
        <v/>
      </c>
    </row>
    <row r="90" spans="4:9">
      <c r="D90" s="27" t="str">
        <f>IFERROR(VLOOKUP(A90,テーブル11[],2,FALSE),"")</f>
        <v/>
      </c>
      <c r="E90" s="25" t="str">
        <f>IFERROR(VLOOKUP($B90,テーブル12[],2,FALSE),"")</f>
        <v/>
      </c>
      <c r="F90" s="25" t="str">
        <f>IFERROR(VLOOKUP($B90,テーブル12[],3,FALSE),"")</f>
        <v/>
      </c>
      <c r="G90" s="31" t="str">
        <f>IFERROR(VLOOKUP($B90,テーブル12[],4,FALSE),"")</f>
        <v/>
      </c>
      <c r="H90" s="25" t="str">
        <f t="shared" si="2"/>
        <v/>
      </c>
      <c r="I90" s="31" t="str">
        <f t="shared" si="3"/>
        <v/>
      </c>
    </row>
    <row r="91" spans="4:9">
      <c r="D91" s="27" t="str">
        <f>IFERROR(VLOOKUP(A91,テーブル11[],2,FALSE),"")</f>
        <v/>
      </c>
      <c r="E91" s="25" t="str">
        <f>IFERROR(VLOOKUP($B91,テーブル12[],2,FALSE),"")</f>
        <v/>
      </c>
      <c r="F91" s="25" t="str">
        <f>IFERROR(VLOOKUP($B91,テーブル12[],3,FALSE),"")</f>
        <v/>
      </c>
      <c r="G91" s="31" t="str">
        <f>IFERROR(VLOOKUP($B91,テーブル12[],4,FALSE),"")</f>
        <v/>
      </c>
      <c r="H91" s="25" t="str">
        <f t="shared" si="2"/>
        <v/>
      </c>
      <c r="I91" s="31" t="str">
        <f t="shared" si="3"/>
        <v/>
      </c>
    </row>
    <row r="92" spans="4:9">
      <c r="D92" s="27" t="str">
        <f>IFERROR(VLOOKUP(A92,テーブル11[],2,FALSE),"")</f>
        <v/>
      </c>
      <c r="E92" s="25" t="str">
        <f>IFERROR(VLOOKUP($B92,テーブル12[],2,FALSE),"")</f>
        <v/>
      </c>
      <c r="F92" s="25" t="str">
        <f>IFERROR(VLOOKUP($B92,テーブル12[],3,FALSE),"")</f>
        <v/>
      </c>
      <c r="G92" s="31" t="str">
        <f>IFERROR(VLOOKUP($B92,テーブル12[],4,FALSE),"")</f>
        <v/>
      </c>
      <c r="H92" s="25" t="str">
        <f t="shared" si="2"/>
        <v/>
      </c>
      <c r="I92" s="31" t="str">
        <f t="shared" si="3"/>
        <v/>
      </c>
    </row>
    <row r="93" spans="4:9">
      <c r="D93" s="27" t="str">
        <f>IFERROR(VLOOKUP(A93,テーブル11[],2,FALSE),"")</f>
        <v/>
      </c>
      <c r="E93" s="25" t="str">
        <f>IFERROR(VLOOKUP($B93,テーブル12[],2,FALSE),"")</f>
        <v/>
      </c>
      <c r="F93" s="25" t="str">
        <f>IFERROR(VLOOKUP($B93,テーブル12[],3,FALSE),"")</f>
        <v/>
      </c>
      <c r="G93" s="31" t="str">
        <f>IFERROR(VLOOKUP($B93,テーブル12[],4,FALSE),"")</f>
        <v/>
      </c>
      <c r="H93" s="25" t="str">
        <f t="shared" si="2"/>
        <v/>
      </c>
      <c r="I93" s="31" t="str">
        <f t="shared" si="3"/>
        <v/>
      </c>
    </row>
    <row r="94" spans="4:9">
      <c r="D94" s="27" t="str">
        <f>IFERROR(VLOOKUP(A94,テーブル11[],2,FALSE),"")</f>
        <v/>
      </c>
      <c r="E94" s="25" t="str">
        <f>IFERROR(VLOOKUP($B94,テーブル12[],2,FALSE),"")</f>
        <v/>
      </c>
      <c r="F94" s="25" t="str">
        <f>IFERROR(VLOOKUP($B94,テーブル12[],3,FALSE),"")</f>
        <v/>
      </c>
      <c r="G94" s="31" t="str">
        <f>IFERROR(VLOOKUP($B94,テーブル12[],4,FALSE),"")</f>
        <v/>
      </c>
      <c r="H94" s="25" t="str">
        <f t="shared" si="2"/>
        <v/>
      </c>
      <c r="I94" s="31" t="str">
        <f t="shared" si="3"/>
        <v/>
      </c>
    </row>
    <row r="95" spans="4:9">
      <c r="D95" s="27" t="str">
        <f>IFERROR(VLOOKUP(A95,テーブル11[],2,FALSE),"")</f>
        <v/>
      </c>
      <c r="E95" s="25" t="str">
        <f>IFERROR(VLOOKUP($B95,テーブル12[],2,FALSE),"")</f>
        <v/>
      </c>
      <c r="F95" s="25" t="str">
        <f>IFERROR(VLOOKUP($B95,テーブル12[],3,FALSE),"")</f>
        <v/>
      </c>
      <c r="G95" s="31" t="str">
        <f>IFERROR(VLOOKUP($B95,テーブル12[],4,FALSE),"")</f>
        <v/>
      </c>
      <c r="H95" s="25" t="str">
        <f t="shared" si="2"/>
        <v/>
      </c>
      <c r="I95" s="31" t="str">
        <f t="shared" si="3"/>
        <v/>
      </c>
    </row>
    <row r="96" spans="4:9">
      <c r="D96" s="27" t="str">
        <f>IFERROR(VLOOKUP(A96,テーブル11[],2,FALSE),"")</f>
        <v/>
      </c>
      <c r="E96" s="25" t="str">
        <f>IFERROR(VLOOKUP($B96,テーブル12[],2,FALSE),"")</f>
        <v/>
      </c>
      <c r="F96" s="25" t="str">
        <f>IFERROR(VLOOKUP($B96,テーブル12[],3,FALSE),"")</f>
        <v/>
      </c>
      <c r="G96" s="31" t="str">
        <f>IFERROR(VLOOKUP($B96,テーブル12[],4,FALSE),"")</f>
        <v/>
      </c>
      <c r="H96" s="25" t="str">
        <f t="shared" si="2"/>
        <v/>
      </c>
      <c r="I96" s="31" t="str">
        <f t="shared" si="3"/>
        <v/>
      </c>
    </row>
    <row r="97" spans="4:9">
      <c r="D97" s="27" t="str">
        <f>IFERROR(VLOOKUP(A97,テーブル11[],2,FALSE),"")</f>
        <v/>
      </c>
      <c r="E97" s="25" t="str">
        <f>IFERROR(VLOOKUP($B97,テーブル12[],2,FALSE),"")</f>
        <v/>
      </c>
      <c r="F97" s="25" t="str">
        <f>IFERROR(VLOOKUP($B97,テーブル12[],3,FALSE),"")</f>
        <v/>
      </c>
      <c r="G97" s="31" t="str">
        <f>IFERROR(VLOOKUP($B97,テーブル12[],4,FALSE),"")</f>
        <v/>
      </c>
      <c r="H97" s="25" t="str">
        <f t="shared" si="2"/>
        <v/>
      </c>
      <c r="I97" s="31" t="str">
        <f t="shared" si="3"/>
        <v/>
      </c>
    </row>
    <row r="98" spans="4:9">
      <c r="D98" s="27" t="str">
        <f>IFERROR(VLOOKUP(A98,テーブル11[],2,FALSE),"")</f>
        <v/>
      </c>
      <c r="E98" s="25" t="str">
        <f>IFERROR(VLOOKUP($B98,テーブル12[],2,FALSE),"")</f>
        <v/>
      </c>
      <c r="F98" s="25" t="str">
        <f>IFERROR(VLOOKUP($B98,テーブル12[],3,FALSE),"")</f>
        <v/>
      </c>
      <c r="G98" s="31" t="str">
        <f>IFERROR(VLOOKUP($B98,テーブル12[],4,FALSE),"")</f>
        <v/>
      </c>
      <c r="H98" s="25" t="str">
        <f t="shared" si="2"/>
        <v/>
      </c>
      <c r="I98" s="31" t="str">
        <f t="shared" si="3"/>
        <v/>
      </c>
    </row>
    <row r="99" spans="4:9">
      <c r="D99" s="27" t="str">
        <f>IFERROR(VLOOKUP(A99,テーブル11[],2,FALSE),"")</f>
        <v/>
      </c>
      <c r="E99" s="25" t="str">
        <f>IFERROR(VLOOKUP($B99,テーブル12[],2,FALSE),"")</f>
        <v/>
      </c>
      <c r="F99" s="25" t="str">
        <f>IFERROR(VLOOKUP($B99,テーブル12[],3,FALSE),"")</f>
        <v/>
      </c>
      <c r="G99" s="31" t="str">
        <f>IFERROR(VLOOKUP($B99,テーブル12[],4,FALSE),"")</f>
        <v/>
      </c>
      <c r="H99" s="25" t="str">
        <f t="shared" si="2"/>
        <v/>
      </c>
      <c r="I99" s="31" t="str">
        <f t="shared" si="3"/>
        <v/>
      </c>
    </row>
    <row r="100" spans="4:9">
      <c r="D100" s="27" t="str">
        <f>IFERROR(VLOOKUP(A100,テーブル11[],2,FALSE),"")</f>
        <v/>
      </c>
      <c r="E100" s="25" t="str">
        <f>IFERROR(VLOOKUP($B100,テーブル12[],2,FALSE),"")</f>
        <v/>
      </c>
      <c r="F100" s="25" t="str">
        <f>IFERROR(VLOOKUP($B100,テーブル12[],3,FALSE),"")</f>
        <v/>
      </c>
      <c r="G100" s="31" t="str">
        <f>IFERROR(VLOOKUP($B100,テーブル12[],4,FALSE),"")</f>
        <v/>
      </c>
      <c r="H100" s="25" t="str">
        <f t="shared" si="2"/>
        <v/>
      </c>
      <c r="I100" s="31" t="str">
        <f t="shared" si="3"/>
        <v/>
      </c>
    </row>
    <row r="101" spans="4:9">
      <c r="D101" s="27" t="str">
        <f>IFERROR(VLOOKUP(A101,テーブル11[],2,FALSE),"")</f>
        <v/>
      </c>
      <c r="E101" s="25" t="str">
        <f>IFERROR(VLOOKUP($B101,テーブル12[],2,FALSE),"")</f>
        <v/>
      </c>
      <c r="F101" s="25" t="str">
        <f>IFERROR(VLOOKUP($B101,テーブル12[],3,FALSE),"")</f>
        <v/>
      </c>
      <c r="G101" s="31" t="str">
        <f>IFERROR(VLOOKUP($B101,テーブル12[],4,FALSE),"")</f>
        <v/>
      </c>
      <c r="H101" s="25" t="str">
        <f t="shared" si="2"/>
        <v/>
      </c>
      <c r="I101" s="31" t="str">
        <f t="shared" si="3"/>
        <v/>
      </c>
    </row>
    <row r="102" spans="4:9">
      <c r="D102" s="27" t="str">
        <f>IFERROR(VLOOKUP(A102,テーブル11[],2,FALSE),"")</f>
        <v/>
      </c>
      <c r="E102" s="25" t="str">
        <f>IFERROR(VLOOKUP($B102,テーブル12[],2,FALSE),"")</f>
        <v/>
      </c>
      <c r="F102" s="25" t="str">
        <f>IFERROR(VLOOKUP($B102,テーブル12[],3,FALSE),"")</f>
        <v/>
      </c>
      <c r="G102" s="31" t="str">
        <f>IFERROR(VLOOKUP($B102,テーブル12[],4,FALSE),"")</f>
        <v/>
      </c>
      <c r="H102" s="25" t="str">
        <f t="shared" si="2"/>
        <v/>
      </c>
      <c r="I102" s="31" t="str">
        <f t="shared" si="3"/>
        <v/>
      </c>
    </row>
    <row r="103" spans="4:9">
      <c r="D103" s="27" t="str">
        <f>IFERROR(VLOOKUP(A103,テーブル11[],2,FALSE),"")</f>
        <v/>
      </c>
      <c r="E103" s="25" t="str">
        <f>IFERROR(VLOOKUP($B103,テーブル12[],2,FALSE),"")</f>
        <v/>
      </c>
      <c r="F103" s="25" t="str">
        <f>IFERROR(VLOOKUP($B103,テーブル12[],3,FALSE),"")</f>
        <v/>
      </c>
      <c r="G103" s="31" t="str">
        <f>IFERROR(VLOOKUP($B103,テーブル12[],4,FALSE),"")</f>
        <v/>
      </c>
      <c r="H103" s="25" t="str">
        <f t="shared" si="2"/>
        <v/>
      </c>
      <c r="I103" s="31" t="str">
        <f t="shared" si="3"/>
        <v/>
      </c>
    </row>
    <row r="104" spans="4:9">
      <c r="D104" s="27" t="str">
        <f>IFERROR(VLOOKUP(A104,テーブル11[],2,FALSE),"")</f>
        <v/>
      </c>
      <c r="E104" s="25" t="str">
        <f>IFERROR(VLOOKUP($B104,テーブル12[],2,FALSE),"")</f>
        <v/>
      </c>
      <c r="F104" s="25" t="str">
        <f>IFERROR(VLOOKUP($B104,テーブル12[],3,FALSE),"")</f>
        <v/>
      </c>
      <c r="G104" s="31" t="str">
        <f>IFERROR(VLOOKUP($B104,テーブル12[],4,FALSE),"")</f>
        <v/>
      </c>
      <c r="H104" s="25" t="str">
        <f t="shared" si="2"/>
        <v/>
      </c>
      <c r="I104" s="31" t="str">
        <f t="shared" si="3"/>
        <v/>
      </c>
    </row>
    <row r="105" spans="4:9">
      <c r="D105" s="27" t="str">
        <f>IFERROR(VLOOKUP(A105,テーブル11[],2,FALSE),"")</f>
        <v/>
      </c>
      <c r="E105" s="25" t="str">
        <f>IFERROR(VLOOKUP($B105,テーブル12[],2,FALSE),"")</f>
        <v/>
      </c>
      <c r="F105" s="25" t="str">
        <f>IFERROR(VLOOKUP($B105,テーブル12[],3,FALSE),"")</f>
        <v/>
      </c>
      <c r="G105" s="31" t="str">
        <f>IFERROR(VLOOKUP($B105,テーブル12[],4,FALSE),"")</f>
        <v/>
      </c>
      <c r="H105" s="25" t="str">
        <f t="shared" si="2"/>
        <v/>
      </c>
      <c r="I105" s="31" t="str">
        <f t="shared" si="3"/>
        <v/>
      </c>
    </row>
    <row r="106" spans="4:9">
      <c r="D106" s="27" t="str">
        <f>IFERROR(VLOOKUP(A106,テーブル11[],2,FALSE),"")</f>
        <v/>
      </c>
      <c r="E106" s="25" t="str">
        <f>IFERROR(VLOOKUP($B106,テーブル12[],2,FALSE),"")</f>
        <v/>
      </c>
      <c r="F106" s="25" t="str">
        <f>IFERROR(VLOOKUP($B106,テーブル12[],3,FALSE),"")</f>
        <v/>
      </c>
      <c r="G106" s="31" t="str">
        <f>IFERROR(VLOOKUP($B106,テーブル12[],4,FALSE),"")</f>
        <v/>
      </c>
      <c r="H106" s="25" t="str">
        <f t="shared" si="2"/>
        <v/>
      </c>
      <c r="I106" s="31" t="str">
        <f t="shared" si="3"/>
        <v/>
      </c>
    </row>
    <row r="107" spans="4:9">
      <c r="D107" s="27" t="str">
        <f>IFERROR(VLOOKUP(A107,テーブル11[],2,FALSE),"")</f>
        <v/>
      </c>
      <c r="E107" s="25" t="str">
        <f>IFERROR(VLOOKUP($B107,テーブル12[],2,FALSE),"")</f>
        <v/>
      </c>
      <c r="F107" s="25" t="str">
        <f>IFERROR(VLOOKUP($B107,テーブル12[],3,FALSE),"")</f>
        <v/>
      </c>
      <c r="G107" s="31" t="str">
        <f>IFERROR(VLOOKUP($B107,テーブル12[],4,FALSE),"")</f>
        <v/>
      </c>
      <c r="H107" s="25" t="str">
        <f t="shared" si="2"/>
        <v/>
      </c>
      <c r="I107" s="31" t="str">
        <f t="shared" si="3"/>
        <v/>
      </c>
    </row>
    <row r="108" spans="4:9">
      <c r="D108" s="27" t="str">
        <f>IFERROR(VLOOKUP(A108,テーブル11[],2,FALSE),"")</f>
        <v/>
      </c>
      <c r="E108" s="25" t="str">
        <f>IFERROR(VLOOKUP($B108,テーブル12[],2,FALSE),"")</f>
        <v/>
      </c>
      <c r="F108" s="25" t="str">
        <f>IFERROR(VLOOKUP($B108,テーブル12[],3,FALSE),"")</f>
        <v/>
      </c>
      <c r="G108" s="31" t="str">
        <f>IFERROR(VLOOKUP($B108,テーブル12[],4,FALSE),"")</f>
        <v/>
      </c>
      <c r="H108" s="25" t="str">
        <f t="shared" si="2"/>
        <v/>
      </c>
      <c r="I108" s="31" t="str">
        <f t="shared" si="3"/>
        <v/>
      </c>
    </row>
    <row r="109" spans="4:9">
      <c r="D109" s="27" t="str">
        <f>IFERROR(VLOOKUP(A109,テーブル11[],2,FALSE),"")</f>
        <v/>
      </c>
      <c r="E109" s="25" t="str">
        <f>IFERROR(VLOOKUP($B109,テーブル12[],2,FALSE),"")</f>
        <v/>
      </c>
      <c r="F109" s="25" t="str">
        <f>IFERROR(VLOOKUP($B109,テーブル12[],3,FALSE),"")</f>
        <v/>
      </c>
      <c r="G109" s="31" t="str">
        <f>IFERROR(VLOOKUP($B109,テーブル12[],4,FALSE),"")</f>
        <v/>
      </c>
      <c r="H109" s="25" t="str">
        <f t="shared" si="2"/>
        <v/>
      </c>
      <c r="I109" s="31" t="str">
        <f t="shared" si="3"/>
        <v/>
      </c>
    </row>
    <row r="110" spans="4:9">
      <c r="D110" s="27" t="str">
        <f>IFERROR(VLOOKUP(A110,テーブル11[],2,FALSE),"")</f>
        <v/>
      </c>
      <c r="E110" s="25" t="str">
        <f>IFERROR(VLOOKUP($B110,テーブル12[],2,FALSE),"")</f>
        <v/>
      </c>
      <c r="F110" s="25" t="str">
        <f>IFERROR(VLOOKUP($B110,テーブル12[],3,FALSE),"")</f>
        <v/>
      </c>
      <c r="G110" s="31" t="str">
        <f>IFERROR(VLOOKUP($B110,テーブル12[],4,FALSE),"")</f>
        <v/>
      </c>
      <c r="H110" s="25" t="str">
        <f t="shared" si="2"/>
        <v/>
      </c>
      <c r="I110" s="31" t="str">
        <f t="shared" si="3"/>
        <v/>
      </c>
    </row>
    <row r="111" spans="4:9">
      <c r="D111" s="27" t="str">
        <f>IFERROR(VLOOKUP(A111,テーブル11[],2,FALSE),"")</f>
        <v/>
      </c>
      <c r="E111" s="25" t="str">
        <f>IFERROR(VLOOKUP($B111,テーブル12[],2,FALSE),"")</f>
        <v/>
      </c>
      <c r="F111" s="25" t="str">
        <f>IFERROR(VLOOKUP($B111,テーブル12[],3,FALSE),"")</f>
        <v/>
      </c>
      <c r="G111" s="31" t="str">
        <f>IFERROR(VLOOKUP($B111,テーブル12[],4,FALSE),"")</f>
        <v/>
      </c>
      <c r="H111" s="25" t="str">
        <f t="shared" si="2"/>
        <v/>
      </c>
      <c r="I111" s="31" t="str">
        <f t="shared" si="3"/>
        <v/>
      </c>
    </row>
    <row r="112" spans="4:9">
      <c r="D112" s="27" t="str">
        <f>IFERROR(VLOOKUP(A112,テーブル11[],2,FALSE),"")</f>
        <v/>
      </c>
      <c r="E112" s="25" t="str">
        <f>IFERROR(VLOOKUP($B112,テーブル12[],2,FALSE),"")</f>
        <v/>
      </c>
      <c r="F112" s="25" t="str">
        <f>IFERROR(VLOOKUP($B112,テーブル12[],3,FALSE),"")</f>
        <v/>
      </c>
      <c r="G112" s="31" t="str">
        <f>IFERROR(VLOOKUP($B112,テーブル12[],4,FALSE),"")</f>
        <v/>
      </c>
      <c r="H112" s="25" t="str">
        <f t="shared" si="2"/>
        <v/>
      </c>
      <c r="I112" s="31" t="str">
        <f t="shared" si="3"/>
        <v/>
      </c>
    </row>
    <row r="113" spans="4:9">
      <c r="D113" s="27" t="str">
        <f>IFERROR(VLOOKUP(A113,テーブル11[],2,FALSE),"")</f>
        <v/>
      </c>
      <c r="E113" s="25" t="str">
        <f>IFERROR(VLOOKUP($B113,テーブル12[],2,FALSE),"")</f>
        <v/>
      </c>
      <c r="F113" s="25" t="str">
        <f>IFERROR(VLOOKUP($B113,テーブル12[],3,FALSE),"")</f>
        <v/>
      </c>
      <c r="G113" s="31" t="str">
        <f>IFERROR(VLOOKUP($B113,テーブル12[],4,FALSE),"")</f>
        <v/>
      </c>
      <c r="H113" s="25" t="str">
        <f t="shared" si="2"/>
        <v/>
      </c>
      <c r="I113" s="31" t="str">
        <f t="shared" si="3"/>
        <v/>
      </c>
    </row>
    <row r="114" spans="4:9">
      <c r="D114" s="27" t="str">
        <f>IFERROR(VLOOKUP(A114,テーブル11[],2,FALSE),"")</f>
        <v/>
      </c>
      <c r="E114" s="25" t="str">
        <f>IFERROR(VLOOKUP($B114,テーブル12[],2,FALSE),"")</f>
        <v/>
      </c>
      <c r="F114" s="25" t="str">
        <f>IFERROR(VLOOKUP($B114,テーブル12[],3,FALSE),"")</f>
        <v/>
      </c>
      <c r="G114" s="31" t="str">
        <f>IFERROR(VLOOKUP($B114,テーブル12[],4,FALSE),"")</f>
        <v/>
      </c>
      <c r="H114" s="25" t="str">
        <f t="shared" si="2"/>
        <v/>
      </c>
      <c r="I114" s="31" t="str">
        <f t="shared" si="3"/>
        <v/>
      </c>
    </row>
    <row r="115" spans="4:9">
      <c r="D115" s="27" t="str">
        <f>IFERROR(VLOOKUP(A115,テーブル11[],2,FALSE),"")</f>
        <v/>
      </c>
      <c r="E115" s="25" t="str">
        <f>IFERROR(VLOOKUP($B115,テーブル12[],2,FALSE),"")</f>
        <v/>
      </c>
      <c r="F115" s="25" t="str">
        <f>IFERROR(VLOOKUP($B115,テーブル12[],3,FALSE),"")</f>
        <v/>
      </c>
      <c r="G115" s="31" t="str">
        <f>IFERROR(VLOOKUP($B115,テーブル12[],4,FALSE),"")</f>
        <v/>
      </c>
      <c r="H115" s="25" t="str">
        <f t="shared" si="2"/>
        <v/>
      </c>
      <c r="I115" s="31" t="str">
        <f t="shared" si="3"/>
        <v/>
      </c>
    </row>
    <row r="116" spans="4:9">
      <c r="D116" s="27" t="str">
        <f>IFERROR(VLOOKUP(A116,テーブル11[],2,FALSE),"")</f>
        <v/>
      </c>
      <c r="E116" s="25" t="str">
        <f>IFERROR(VLOOKUP($B116,テーブル12[],2,FALSE),"")</f>
        <v/>
      </c>
      <c r="F116" s="25" t="str">
        <f>IFERROR(VLOOKUP($B116,テーブル12[],3,FALSE),"")</f>
        <v/>
      </c>
      <c r="G116" s="31" t="str">
        <f>IFERROR(VLOOKUP($B116,テーブル12[],4,FALSE),"")</f>
        <v/>
      </c>
      <c r="H116" s="25" t="str">
        <f t="shared" si="2"/>
        <v/>
      </c>
      <c r="I116" s="31" t="str">
        <f t="shared" si="3"/>
        <v/>
      </c>
    </row>
    <row r="117" spans="4:9">
      <c r="D117" s="27" t="str">
        <f>IFERROR(VLOOKUP(A117,テーブル11[],2,FALSE),"")</f>
        <v/>
      </c>
      <c r="E117" s="25" t="str">
        <f>IFERROR(VLOOKUP($B117,テーブル12[],2,FALSE),"")</f>
        <v/>
      </c>
      <c r="F117" s="25" t="str">
        <f>IFERROR(VLOOKUP($B117,テーブル12[],3,FALSE),"")</f>
        <v/>
      </c>
      <c r="G117" s="31" t="str">
        <f>IFERROR(VLOOKUP($B117,テーブル12[],4,FALSE),"")</f>
        <v/>
      </c>
      <c r="H117" s="25" t="str">
        <f t="shared" si="2"/>
        <v/>
      </c>
      <c r="I117" s="31" t="str">
        <f t="shared" si="3"/>
        <v/>
      </c>
    </row>
    <row r="118" spans="4:9">
      <c r="D118" s="27" t="str">
        <f>IFERROR(VLOOKUP(A118,テーブル11[],2,FALSE),"")</f>
        <v/>
      </c>
      <c r="E118" s="25" t="str">
        <f>IFERROR(VLOOKUP($B118,テーブル12[],2,FALSE),"")</f>
        <v/>
      </c>
      <c r="F118" s="25" t="str">
        <f>IFERROR(VLOOKUP($B118,テーブル12[],3,FALSE),"")</f>
        <v/>
      </c>
      <c r="G118" s="31" t="str">
        <f>IFERROR(VLOOKUP($B118,テーブル12[],4,FALSE),"")</f>
        <v/>
      </c>
      <c r="H118" s="25" t="str">
        <f t="shared" si="2"/>
        <v/>
      </c>
      <c r="I118" s="31" t="str">
        <f t="shared" si="3"/>
        <v/>
      </c>
    </row>
    <row r="119" spans="4:9">
      <c r="D119" s="27" t="str">
        <f>IFERROR(VLOOKUP(A119,テーブル11[],2,FALSE),"")</f>
        <v/>
      </c>
      <c r="E119" s="25" t="str">
        <f>IFERROR(VLOOKUP($B119,テーブル12[],2,FALSE),"")</f>
        <v/>
      </c>
      <c r="F119" s="25" t="str">
        <f>IFERROR(VLOOKUP($B119,テーブル12[],3,FALSE),"")</f>
        <v/>
      </c>
      <c r="G119" s="31" t="str">
        <f>IFERROR(VLOOKUP($B119,テーブル12[],4,FALSE),"")</f>
        <v/>
      </c>
      <c r="H119" s="25" t="str">
        <f t="shared" si="2"/>
        <v/>
      </c>
      <c r="I119" s="31" t="str">
        <f t="shared" si="3"/>
        <v/>
      </c>
    </row>
    <row r="120" spans="4:9">
      <c r="D120" s="27" t="str">
        <f>IFERROR(VLOOKUP(A120,テーブル11[],2,FALSE),"")</f>
        <v/>
      </c>
      <c r="E120" s="25" t="str">
        <f>IFERROR(VLOOKUP($B120,テーブル12[],2,FALSE),"")</f>
        <v/>
      </c>
      <c r="F120" s="25" t="str">
        <f>IFERROR(VLOOKUP($B120,テーブル12[],3,FALSE),"")</f>
        <v/>
      </c>
      <c r="G120" s="31" t="str">
        <f>IFERROR(VLOOKUP($B120,テーブル12[],4,FALSE),"")</f>
        <v/>
      </c>
      <c r="H120" s="25" t="str">
        <f t="shared" si="2"/>
        <v/>
      </c>
      <c r="I120" s="31" t="str">
        <f t="shared" si="3"/>
        <v/>
      </c>
    </row>
    <row r="121" spans="4:9">
      <c r="D121" s="27" t="str">
        <f>IFERROR(VLOOKUP(A121,テーブル11[],2,FALSE),"")</f>
        <v/>
      </c>
      <c r="E121" s="25" t="str">
        <f>IFERROR(VLOOKUP($B121,テーブル12[],2,FALSE),"")</f>
        <v/>
      </c>
      <c r="F121" s="25" t="str">
        <f>IFERROR(VLOOKUP($B121,テーブル12[],3,FALSE),"")</f>
        <v/>
      </c>
      <c r="G121" s="31" t="str">
        <f>IFERROR(VLOOKUP($B121,テーブル12[],4,FALSE),"")</f>
        <v/>
      </c>
      <c r="H121" s="25" t="str">
        <f t="shared" si="2"/>
        <v/>
      </c>
      <c r="I121" s="31" t="str">
        <f t="shared" si="3"/>
        <v/>
      </c>
    </row>
    <row r="122" spans="4:9">
      <c r="D122" s="27" t="str">
        <f>IFERROR(VLOOKUP(A122,テーブル11[],2,FALSE),"")</f>
        <v/>
      </c>
      <c r="E122" s="25" t="str">
        <f>IFERROR(VLOOKUP($B122,テーブル12[],2,FALSE),"")</f>
        <v/>
      </c>
      <c r="F122" s="25" t="str">
        <f>IFERROR(VLOOKUP($B122,テーブル12[],3,FALSE),"")</f>
        <v/>
      </c>
      <c r="G122" s="31" t="str">
        <f>IFERROR(VLOOKUP($B122,テーブル12[],4,FALSE),"")</f>
        <v/>
      </c>
      <c r="H122" s="25" t="str">
        <f t="shared" si="2"/>
        <v/>
      </c>
      <c r="I122" s="31" t="str">
        <f t="shared" si="3"/>
        <v/>
      </c>
    </row>
    <row r="123" spans="4:9">
      <c r="D123" s="27" t="str">
        <f>IFERROR(VLOOKUP(A123,テーブル11[],2,FALSE),"")</f>
        <v/>
      </c>
      <c r="E123" s="25" t="str">
        <f>IFERROR(VLOOKUP($B123,テーブル12[],2,FALSE),"")</f>
        <v/>
      </c>
      <c r="F123" s="25" t="str">
        <f>IFERROR(VLOOKUP($B123,テーブル12[],3,FALSE),"")</f>
        <v/>
      </c>
      <c r="G123" s="31" t="str">
        <f>IFERROR(VLOOKUP($B123,テーブル12[],4,FALSE),"")</f>
        <v/>
      </c>
      <c r="H123" s="25" t="str">
        <f t="shared" si="2"/>
        <v/>
      </c>
      <c r="I123" s="31" t="str">
        <f t="shared" si="3"/>
        <v/>
      </c>
    </row>
    <row r="124" spans="4:9">
      <c r="D124" s="27" t="str">
        <f>IFERROR(VLOOKUP(A124,テーブル11[],2,FALSE),"")</f>
        <v/>
      </c>
      <c r="E124" s="25" t="str">
        <f>IFERROR(VLOOKUP($B124,テーブル12[],2,FALSE),"")</f>
        <v/>
      </c>
      <c r="F124" s="25" t="str">
        <f>IFERROR(VLOOKUP($B124,テーブル12[],3,FALSE),"")</f>
        <v/>
      </c>
      <c r="G124" s="31" t="str">
        <f>IFERROR(VLOOKUP($B124,テーブル12[],4,FALSE),"")</f>
        <v/>
      </c>
      <c r="H124" s="25" t="str">
        <f t="shared" si="2"/>
        <v/>
      </c>
      <c r="I124" s="31" t="str">
        <f t="shared" si="3"/>
        <v/>
      </c>
    </row>
    <row r="125" spans="4:9">
      <c r="D125" s="27" t="str">
        <f>IFERROR(VLOOKUP(A125,テーブル11[],2,FALSE),"")</f>
        <v/>
      </c>
      <c r="E125" s="25" t="str">
        <f>IFERROR(VLOOKUP($B125,テーブル12[],2,FALSE),"")</f>
        <v/>
      </c>
      <c r="F125" s="25" t="str">
        <f>IFERROR(VLOOKUP($B125,テーブル12[],3,FALSE),"")</f>
        <v/>
      </c>
      <c r="G125" s="31" t="str">
        <f>IFERROR(VLOOKUP($B125,テーブル12[],4,FALSE),"")</f>
        <v/>
      </c>
      <c r="H125" s="25" t="str">
        <f t="shared" si="2"/>
        <v/>
      </c>
      <c r="I125" s="31" t="str">
        <f t="shared" si="3"/>
        <v/>
      </c>
    </row>
    <row r="126" spans="4:9">
      <c r="D126" s="27" t="str">
        <f>IFERROR(VLOOKUP(A126,テーブル11[],2,FALSE),"")</f>
        <v/>
      </c>
      <c r="E126" s="25" t="str">
        <f>IFERROR(VLOOKUP($B126,テーブル12[],2,FALSE),"")</f>
        <v/>
      </c>
      <c r="F126" s="25" t="str">
        <f>IFERROR(VLOOKUP($B126,テーブル12[],3,FALSE),"")</f>
        <v/>
      </c>
      <c r="G126" s="31" t="str">
        <f>IFERROR(VLOOKUP($B126,テーブル12[],4,FALSE),"")</f>
        <v/>
      </c>
      <c r="H126" s="25" t="str">
        <f t="shared" si="2"/>
        <v/>
      </c>
      <c r="I126" s="31" t="str">
        <f t="shared" si="3"/>
        <v/>
      </c>
    </row>
    <row r="127" spans="4:9">
      <c r="D127" s="27" t="str">
        <f>IFERROR(VLOOKUP(A127,テーブル11[],2,FALSE),"")</f>
        <v/>
      </c>
      <c r="E127" s="25" t="str">
        <f>IFERROR(VLOOKUP($B127,テーブル12[],2,FALSE),"")</f>
        <v/>
      </c>
      <c r="F127" s="25" t="str">
        <f>IFERROR(VLOOKUP($B127,テーブル12[],3,FALSE),"")</f>
        <v/>
      </c>
      <c r="G127" s="31" t="str">
        <f>IFERROR(VLOOKUP($B127,テーブル12[],4,FALSE),"")</f>
        <v/>
      </c>
      <c r="H127" s="25" t="str">
        <f t="shared" si="2"/>
        <v/>
      </c>
      <c r="I127" s="31" t="str">
        <f t="shared" si="3"/>
        <v/>
      </c>
    </row>
    <row r="128" spans="4:9">
      <c r="D128" s="27" t="str">
        <f>IFERROR(VLOOKUP(A128,テーブル11[],2,FALSE),"")</f>
        <v/>
      </c>
      <c r="E128" s="25" t="str">
        <f>IFERROR(VLOOKUP($B128,テーブル12[],2,FALSE),"")</f>
        <v/>
      </c>
      <c r="F128" s="25" t="str">
        <f>IFERROR(VLOOKUP($B128,テーブル12[],3,FALSE),"")</f>
        <v/>
      </c>
      <c r="G128" s="31" t="str">
        <f>IFERROR(VLOOKUP($B128,テーブル12[],4,FALSE),"")</f>
        <v/>
      </c>
      <c r="H128" s="25" t="str">
        <f t="shared" si="2"/>
        <v/>
      </c>
      <c r="I128" s="31" t="str">
        <f t="shared" si="3"/>
        <v/>
      </c>
    </row>
    <row r="129" spans="4:9">
      <c r="D129" s="27" t="str">
        <f>IFERROR(VLOOKUP(A129,テーブル11[],2,FALSE),"")</f>
        <v/>
      </c>
      <c r="E129" s="25" t="str">
        <f>IFERROR(VLOOKUP($B129,テーブル12[],2,FALSE),"")</f>
        <v/>
      </c>
      <c r="F129" s="25" t="str">
        <f>IFERROR(VLOOKUP($B129,テーブル12[],3,FALSE),"")</f>
        <v/>
      </c>
      <c r="G129" s="31" t="str">
        <f>IFERROR(VLOOKUP($B129,テーブル12[],4,FALSE),"")</f>
        <v/>
      </c>
      <c r="H129" s="25" t="str">
        <f t="shared" si="2"/>
        <v/>
      </c>
      <c r="I129" s="31" t="str">
        <f t="shared" si="3"/>
        <v/>
      </c>
    </row>
    <row r="130" spans="4:9">
      <c r="D130" s="27" t="str">
        <f>IFERROR(VLOOKUP(A130,テーブル11[],2,FALSE),"")</f>
        <v/>
      </c>
      <c r="E130" s="25" t="str">
        <f>IFERROR(VLOOKUP($B130,テーブル12[],2,FALSE),"")</f>
        <v/>
      </c>
      <c r="F130" s="25" t="str">
        <f>IFERROR(VLOOKUP($B130,テーブル12[],3,FALSE),"")</f>
        <v/>
      </c>
      <c r="G130" s="31" t="str">
        <f>IFERROR(VLOOKUP($B130,テーブル12[],4,FALSE),"")</f>
        <v/>
      </c>
      <c r="H130" s="25" t="str">
        <f t="shared" ref="H130:H193" si="4">IF(C130=0,"",C130)</f>
        <v/>
      </c>
      <c r="I130" s="31" t="str">
        <f t="shared" ref="I130:I193" si="5">IF(C130=0,"",G130*C130)</f>
        <v/>
      </c>
    </row>
    <row r="131" spans="4:9">
      <c r="D131" s="27" t="str">
        <f>IFERROR(VLOOKUP(A131,テーブル11[],2,FALSE),"")</f>
        <v/>
      </c>
      <c r="E131" s="25" t="str">
        <f>IFERROR(VLOOKUP($B131,テーブル12[],2,FALSE),"")</f>
        <v/>
      </c>
      <c r="F131" s="25" t="str">
        <f>IFERROR(VLOOKUP($B131,テーブル12[],3,FALSE),"")</f>
        <v/>
      </c>
      <c r="G131" s="31" t="str">
        <f>IFERROR(VLOOKUP($B131,テーブル12[],4,FALSE),"")</f>
        <v/>
      </c>
      <c r="H131" s="25" t="str">
        <f t="shared" si="4"/>
        <v/>
      </c>
      <c r="I131" s="31" t="str">
        <f t="shared" si="5"/>
        <v/>
      </c>
    </row>
    <row r="132" spans="4:9">
      <c r="D132" s="27" t="str">
        <f>IFERROR(VLOOKUP(A132,テーブル11[],2,FALSE),"")</f>
        <v/>
      </c>
      <c r="E132" s="25" t="str">
        <f>IFERROR(VLOOKUP($B132,テーブル12[],2,FALSE),"")</f>
        <v/>
      </c>
      <c r="F132" s="25" t="str">
        <f>IFERROR(VLOOKUP($B132,テーブル12[],3,FALSE),"")</f>
        <v/>
      </c>
      <c r="G132" s="31" t="str">
        <f>IFERROR(VLOOKUP($B132,テーブル12[],4,FALSE),"")</f>
        <v/>
      </c>
      <c r="H132" s="25" t="str">
        <f t="shared" si="4"/>
        <v/>
      </c>
      <c r="I132" s="31" t="str">
        <f t="shared" si="5"/>
        <v/>
      </c>
    </row>
    <row r="133" spans="4:9">
      <c r="D133" s="27" t="str">
        <f>IFERROR(VLOOKUP(A133,テーブル11[],2,FALSE),"")</f>
        <v/>
      </c>
      <c r="E133" s="25" t="str">
        <f>IFERROR(VLOOKUP($B133,テーブル12[],2,FALSE),"")</f>
        <v/>
      </c>
      <c r="F133" s="25" t="str">
        <f>IFERROR(VLOOKUP($B133,テーブル12[],3,FALSE),"")</f>
        <v/>
      </c>
      <c r="G133" s="31" t="str">
        <f>IFERROR(VLOOKUP($B133,テーブル12[],4,FALSE),"")</f>
        <v/>
      </c>
      <c r="H133" s="25" t="str">
        <f t="shared" si="4"/>
        <v/>
      </c>
      <c r="I133" s="31" t="str">
        <f t="shared" si="5"/>
        <v/>
      </c>
    </row>
    <row r="134" spans="4:9">
      <c r="D134" s="27" t="str">
        <f>IFERROR(VLOOKUP(A134,テーブル11[],2,FALSE),"")</f>
        <v/>
      </c>
      <c r="E134" s="25" t="str">
        <f>IFERROR(VLOOKUP($B134,テーブル12[],2,FALSE),"")</f>
        <v/>
      </c>
      <c r="F134" s="25" t="str">
        <f>IFERROR(VLOOKUP($B134,テーブル12[],3,FALSE),"")</f>
        <v/>
      </c>
      <c r="G134" s="31" t="str">
        <f>IFERROR(VLOOKUP($B134,テーブル12[],4,FALSE),"")</f>
        <v/>
      </c>
      <c r="H134" s="25" t="str">
        <f t="shared" si="4"/>
        <v/>
      </c>
      <c r="I134" s="31" t="str">
        <f t="shared" si="5"/>
        <v/>
      </c>
    </row>
    <row r="135" spans="4:9">
      <c r="D135" s="27" t="str">
        <f>IFERROR(VLOOKUP(A135,テーブル11[],2,FALSE),"")</f>
        <v/>
      </c>
      <c r="E135" s="25" t="str">
        <f>IFERROR(VLOOKUP($B135,テーブル12[],2,FALSE),"")</f>
        <v/>
      </c>
      <c r="F135" s="25" t="str">
        <f>IFERROR(VLOOKUP($B135,テーブル12[],3,FALSE),"")</f>
        <v/>
      </c>
      <c r="G135" s="31" t="str">
        <f>IFERROR(VLOOKUP($B135,テーブル12[],4,FALSE),"")</f>
        <v/>
      </c>
      <c r="H135" s="25" t="str">
        <f t="shared" si="4"/>
        <v/>
      </c>
      <c r="I135" s="31" t="str">
        <f t="shared" si="5"/>
        <v/>
      </c>
    </row>
    <row r="136" spans="4:9">
      <c r="D136" s="27" t="str">
        <f>IFERROR(VLOOKUP(A136,テーブル11[],2,FALSE),"")</f>
        <v/>
      </c>
      <c r="E136" s="25" t="str">
        <f>IFERROR(VLOOKUP($B136,テーブル12[],2,FALSE),"")</f>
        <v/>
      </c>
      <c r="F136" s="25" t="str">
        <f>IFERROR(VLOOKUP($B136,テーブル12[],3,FALSE),"")</f>
        <v/>
      </c>
      <c r="G136" s="31" t="str">
        <f>IFERROR(VLOOKUP($B136,テーブル12[],4,FALSE),"")</f>
        <v/>
      </c>
      <c r="H136" s="25" t="str">
        <f t="shared" si="4"/>
        <v/>
      </c>
      <c r="I136" s="31" t="str">
        <f t="shared" si="5"/>
        <v/>
      </c>
    </row>
    <row r="137" spans="4:9">
      <c r="D137" s="27" t="str">
        <f>IFERROR(VLOOKUP(A137,テーブル11[],2,FALSE),"")</f>
        <v/>
      </c>
      <c r="E137" s="25" t="str">
        <f>IFERROR(VLOOKUP($B137,テーブル12[],2,FALSE),"")</f>
        <v/>
      </c>
      <c r="F137" s="25" t="str">
        <f>IFERROR(VLOOKUP($B137,テーブル12[],3,FALSE),"")</f>
        <v/>
      </c>
      <c r="G137" s="31" t="str">
        <f>IFERROR(VLOOKUP($B137,テーブル12[],4,FALSE),"")</f>
        <v/>
      </c>
      <c r="H137" s="25" t="str">
        <f t="shared" si="4"/>
        <v/>
      </c>
      <c r="I137" s="31" t="str">
        <f t="shared" si="5"/>
        <v/>
      </c>
    </row>
    <row r="138" spans="4:9">
      <c r="D138" s="27" t="str">
        <f>IFERROR(VLOOKUP(A138,テーブル11[],2,FALSE),"")</f>
        <v/>
      </c>
      <c r="E138" s="25" t="str">
        <f>IFERROR(VLOOKUP($B138,テーブル12[],2,FALSE),"")</f>
        <v/>
      </c>
      <c r="F138" s="25" t="str">
        <f>IFERROR(VLOOKUP($B138,テーブル12[],3,FALSE),"")</f>
        <v/>
      </c>
      <c r="G138" s="31" t="str">
        <f>IFERROR(VLOOKUP($B138,テーブル12[],4,FALSE),"")</f>
        <v/>
      </c>
      <c r="H138" s="25" t="str">
        <f t="shared" si="4"/>
        <v/>
      </c>
      <c r="I138" s="31" t="str">
        <f t="shared" si="5"/>
        <v/>
      </c>
    </row>
    <row r="139" spans="4:9">
      <c r="D139" s="27" t="str">
        <f>IFERROR(VLOOKUP(A139,テーブル11[],2,FALSE),"")</f>
        <v/>
      </c>
      <c r="E139" s="25" t="str">
        <f>IFERROR(VLOOKUP($B139,テーブル12[],2,FALSE),"")</f>
        <v/>
      </c>
      <c r="F139" s="25" t="str">
        <f>IFERROR(VLOOKUP($B139,テーブル12[],3,FALSE),"")</f>
        <v/>
      </c>
      <c r="G139" s="31" t="str">
        <f>IFERROR(VLOOKUP($B139,テーブル12[],4,FALSE),"")</f>
        <v/>
      </c>
      <c r="H139" s="25" t="str">
        <f t="shared" si="4"/>
        <v/>
      </c>
      <c r="I139" s="31" t="str">
        <f t="shared" si="5"/>
        <v/>
      </c>
    </row>
    <row r="140" spans="4:9">
      <c r="D140" s="27" t="str">
        <f>IFERROR(VLOOKUP(A140,テーブル11[],2,FALSE),"")</f>
        <v/>
      </c>
      <c r="E140" s="25" t="str">
        <f>IFERROR(VLOOKUP($B140,テーブル12[],2,FALSE),"")</f>
        <v/>
      </c>
      <c r="F140" s="25" t="str">
        <f>IFERROR(VLOOKUP($B140,テーブル12[],3,FALSE),"")</f>
        <v/>
      </c>
      <c r="G140" s="31" t="str">
        <f>IFERROR(VLOOKUP($B140,テーブル12[],4,FALSE),"")</f>
        <v/>
      </c>
      <c r="H140" s="25" t="str">
        <f t="shared" si="4"/>
        <v/>
      </c>
      <c r="I140" s="31" t="str">
        <f t="shared" si="5"/>
        <v/>
      </c>
    </row>
    <row r="141" spans="4:9">
      <c r="D141" s="27" t="str">
        <f>IFERROR(VLOOKUP(A141,テーブル11[],2,FALSE),"")</f>
        <v/>
      </c>
      <c r="E141" s="25" t="str">
        <f>IFERROR(VLOOKUP($B141,テーブル12[],2,FALSE),"")</f>
        <v/>
      </c>
      <c r="F141" s="25" t="str">
        <f>IFERROR(VLOOKUP($B141,テーブル12[],3,FALSE),"")</f>
        <v/>
      </c>
      <c r="G141" s="31" t="str">
        <f>IFERROR(VLOOKUP($B141,テーブル12[],4,FALSE),"")</f>
        <v/>
      </c>
      <c r="H141" s="25" t="str">
        <f t="shared" si="4"/>
        <v/>
      </c>
      <c r="I141" s="31" t="str">
        <f t="shared" si="5"/>
        <v/>
      </c>
    </row>
    <row r="142" spans="4:9">
      <c r="D142" s="27" t="str">
        <f>IFERROR(VLOOKUP(A142,テーブル11[],2,FALSE),"")</f>
        <v/>
      </c>
      <c r="E142" s="25" t="str">
        <f>IFERROR(VLOOKUP($B142,テーブル12[],2,FALSE),"")</f>
        <v/>
      </c>
      <c r="F142" s="25" t="str">
        <f>IFERROR(VLOOKUP($B142,テーブル12[],3,FALSE),"")</f>
        <v/>
      </c>
      <c r="G142" s="31" t="str">
        <f>IFERROR(VLOOKUP($B142,テーブル12[],4,FALSE),"")</f>
        <v/>
      </c>
      <c r="H142" s="25" t="str">
        <f t="shared" si="4"/>
        <v/>
      </c>
      <c r="I142" s="31" t="str">
        <f t="shared" si="5"/>
        <v/>
      </c>
    </row>
    <row r="143" spans="4:9">
      <c r="D143" s="27" t="str">
        <f>IFERROR(VLOOKUP(A143,テーブル11[],2,FALSE),"")</f>
        <v/>
      </c>
      <c r="E143" s="25" t="str">
        <f>IFERROR(VLOOKUP($B143,テーブル12[],2,FALSE),"")</f>
        <v/>
      </c>
      <c r="F143" s="25" t="str">
        <f>IFERROR(VLOOKUP($B143,テーブル12[],3,FALSE),"")</f>
        <v/>
      </c>
      <c r="G143" s="31" t="str">
        <f>IFERROR(VLOOKUP($B143,テーブル12[],4,FALSE),"")</f>
        <v/>
      </c>
      <c r="H143" s="25" t="str">
        <f t="shared" si="4"/>
        <v/>
      </c>
      <c r="I143" s="31" t="str">
        <f t="shared" si="5"/>
        <v/>
      </c>
    </row>
    <row r="144" spans="4:9">
      <c r="D144" s="27" t="str">
        <f>IFERROR(VLOOKUP(A144,テーブル11[],2,FALSE),"")</f>
        <v/>
      </c>
      <c r="E144" s="25" t="str">
        <f>IFERROR(VLOOKUP($B144,テーブル12[],2,FALSE),"")</f>
        <v/>
      </c>
      <c r="F144" s="25" t="str">
        <f>IFERROR(VLOOKUP($B144,テーブル12[],3,FALSE),"")</f>
        <v/>
      </c>
      <c r="G144" s="31" t="str">
        <f>IFERROR(VLOOKUP($B144,テーブル12[],4,FALSE),"")</f>
        <v/>
      </c>
      <c r="H144" s="25" t="str">
        <f t="shared" si="4"/>
        <v/>
      </c>
      <c r="I144" s="31" t="str">
        <f t="shared" si="5"/>
        <v/>
      </c>
    </row>
    <row r="145" spans="4:9">
      <c r="D145" s="27" t="str">
        <f>IFERROR(VLOOKUP(A145,テーブル11[],2,FALSE),"")</f>
        <v/>
      </c>
      <c r="E145" s="25" t="str">
        <f>IFERROR(VLOOKUP($B145,テーブル12[],2,FALSE),"")</f>
        <v/>
      </c>
      <c r="F145" s="25" t="str">
        <f>IFERROR(VLOOKUP($B145,テーブル12[],3,FALSE),"")</f>
        <v/>
      </c>
      <c r="G145" s="31" t="str">
        <f>IFERROR(VLOOKUP($B145,テーブル12[],4,FALSE),"")</f>
        <v/>
      </c>
      <c r="H145" s="25" t="str">
        <f t="shared" si="4"/>
        <v/>
      </c>
      <c r="I145" s="31" t="str">
        <f t="shared" si="5"/>
        <v/>
      </c>
    </row>
    <row r="146" spans="4:9">
      <c r="D146" s="27" t="str">
        <f>IFERROR(VLOOKUP(A146,テーブル11[],2,FALSE),"")</f>
        <v/>
      </c>
      <c r="E146" s="25" t="str">
        <f>IFERROR(VLOOKUP($B146,テーブル12[],2,FALSE),"")</f>
        <v/>
      </c>
      <c r="F146" s="25" t="str">
        <f>IFERROR(VLOOKUP($B146,テーブル12[],3,FALSE),"")</f>
        <v/>
      </c>
      <c r="G146" s="31" t="str">
        <f>IFERROR(VLOOKUP($B146,テーブル12[],4,FALSE),"")</f>
        <v/>
      </c>
      <c r="H146" s="25" t="str">
        <f t="shared" si="4"/>
        <v/>
      </c>
      <c r="I146" s="31" t="str">
        <f t="shared" si="5"/>
        <v/>
      </c>
    </row>
    <row r="147" spans="4:9">
      <c r="D147" s="27" t="str">
        <f>IFERROR(VLOOKUP(A147,テーブル11[],2,FALSE),"")</f>
        <v/>
      </c>
      <c r="E147" s="25" t="str">
        <f>IFERROR(VLOOKUP($B147,テーブル12[],2,FALSE),"")</f>
        <v/>
      </c>
      <c r="F147" s="25" t="str">
        <f>IFERROR(VLOOKUP($B147,テーブル12[],3,FALSE),"")</f>
        <v/>
      </c>
      <c r="G147" s="31" t="str">
        <f>IFERROR(VLOOKUP($B147,テーブル12[],4,FALSE),"")</f>
        <v/>
      </c>
      <c r="H147" s="25" t="str">
        <f t="shared" si="4"/>
        <v/>
      </c>
      <c r="I147" s="31" t="str">
        <f t="shared" si="5"/>
        <v/>
      </c>
    </row>
    <row r="148" spans="4:9">
      <c r="D148" s="27" t="str">
        <f>IFERROR(VLOOKUP(A148,テーブル11[],2,FALSE),"")</f>
        <v/>
      </c>
      <c r="E148" s="25" t="str">
        <f>IFERROR(VLOOKUP($B148,テーブル12[],2,FALSE),"")</f>
        <v/>
      </c>
      <c r="F148" s="25" t="str">
        <f>IFERROR(VLOOKUP($B148,テーブル12[],3,FALSE),"")</f>
        <v/>
      </c>
      <c r="G148" s="31" t="str">
        <f>IFERROR(VLOOKUP($B148,テーブル12[],4,FALSE),"")</f>
        <v/>
      </c>
      <c r="H148" s="25" t="str">
        <f t="shared" si="4"/>
        <v/>
      </c>
      <c r="I148" s="31" t="str">
        <f t="shared" si="5"/>
        <v/>
      </c>
    </row>
    <row r="149" spans="4:9">
      <c r="D149" s="27" t="str">
        <f>IFERROR(VLOOKUP(A149,テーブル11[],2,FALSE),"")</f>
        <v/>
      </c>
      <c r="E149" s="25" t="str">
        <f>IFERROR(VLOOKUP($B149,テーブル12[],2,FALSE),"")</f>
        <v/>
      </c>
      <c r="F149" s="25" t="str">
        <f>IFERROR(VLOOKUP($B149,テーブル12[],3,FALSE),"")</f>
        <v/>
      </c>
      <c r="G149" s="31" t="str">
        <f>IFERROR(VLOOKUP($B149,テーブル12[],4,FALSE),"")</f>
        <v/>
      </c>
      <c r="H149" s="25" t="str">
        <f t="shared" si="4"/>
        <v/>
      </c>
      <c r="I149" s="31" t="str">
        <f t="shared" si="5"/>
        <v/>
      </c>
    </row>
    <row r="150" spans="4:9">
      <c r="D150" s="27" t="str">
        <f>IFERROR(VLOOKUP(A150,テーブル11[],2,FALSE),"")</f>
        <v/>
      </c>
      <c r="E150" s="25" t="str">
        <f>IFERROR(VLOOKUP($B150,テーブル12[],2,FALSE),"")</f>
        <v/>
      </c>
      <c r="F150" s="25" t="str">
        <f>IFERROR(VLOOKUP($B150,テーブル12[],3,FALSE),"")</f>
        <v/>
      </c>
      <c r="G150" s="31" t="str">
        <f>IFERROR(VLOOKUP($B150,テーブル12[],4,FALSE),"")</f>
        <v/>
      </c>
      <c r="H150" s="25" t="str">
        <f t="shared" si="4"/>
        <v/>
      </c>
      <c r="I150" s="31" t="str">
        <f t="shared" si="5"/>
        <v/>
      </c>
    </row>
    <row r="151" spans="4:9">
      <c r="D151" s="27" t="str">
        <f>IFERROR(VLOOKUP(A151,テーブル11[],2,FALSE),"")</f>
        <v/>
      </c>
      <c r="E151" s="25" t="str">
        <f>IFERROR(VLOOKUP($B151,テーブル12[],2,FALSE),"")</f>
        <v/>
      </c>
      <c r="F151" s="25" t="str">
        <f>IFERROR(VLOOKUP($B151,テーブル12[],3,FALSE),"")</f>
        <v/>
      </c>
      <c r="G151" s="31" t="str">
        <f>IFERROR(VLOOKUP($B151,テーブル12[],4,FALSE),"")</f>
        <v/>
      </c>
      <c r="H151" s="25" t="str">
        <f t="shared" si="4"/>
        <v/>
      </c>
      <c r="I151" s="31" t="str">
        <f t="shared" si="5"/>
        <v/>
      </c>
    </row>
    <row r="152" spans="4:9">
      <c r="D152" s="27" t="str">
        <f>IFERROR(VLOOKUP(A152,テーブル11[],2,FALSE),"")</f>
        <v/>
      </c>
      <c r="E152" s="25" t="str">
        <f>IFERROR(VLOOKUP($B152,テーブル12[],2,FALSE),"")</f>
        <v/>
      </c>
      <c r="F152" s="25" t="str">
        <f>IFERROR(VLOOKUP($B152,テーブル12[],3,FALSE),"")</f>
        <v/>
      </c>
      <c r="G152" s="31" t="str">
        <f>IFERROR(VLOOKUP($B152,テーブル12[],4,FALSE),"")</f>
        <v/>
      </c>
      <c r="H152" s="25" t="str">
        <f t="shared" si="4"/>
        <v/>
      </c>
      <c r="I152" s="31" t="str">
        <f t="shared" si="5"/>
        <v/>
      </c>
    </row>
    <row r="153" spans="4:9">
      <c r="D153" s="27" t="str">
        <f>IFERROR(VLOOKUP(A153,テーブル11[],2,FALSE),"")</f>
        <v/>
      </c>
      <c r="E153" s="25" t="str">
        <f>IFERROR(VLOOKUP($B153,テーブル12[],2,FALSE),"")</f>
        <v/>
      </c>
      <c r="F153" s="25" t="str">
        <f>IFERROR(VLOOKUP($B153,テーブル12[],3,FALSE),"")</f>
        <v/>
      </c>
      <c r="G153" s="31" t="str">
        <f>IFERROR(VLOOKUP($B153,テーブル12[],4,FALSE),"")</f>
        <v/>
      </c>
      <c r="H153" s="25" t="str">
        <f t="shared" si="4"/>
        <v/>
      </c>
      <c r="I153" s="31" t="str">
        <f t="shared" si="5"/>
        <v/>
      </c>
    </row>
    <row r="154" spans="4:9">
      <c r="D154" s="27" t="str">
        <f>IFERROR(VLOOKUP(A154,テーブル11[],2,FALSE),"")</f>
        <v/>
      </c>
      <c r="E154" s="25" t="str">
        <f>IFERROR(VLOOKUP($B154,テーブル12[],2,FALSE),"")</f>
        <v/>
      </c>
      <c r="F154" s="25" t="str">
        <f>IFERROR(VLOOKUP($B154,テーブル12[],3,FALSE),"")</f>
        <v/>
      </c>
      <c r="G154" s="31" t="str">
        <f>IFERROR(VLOOKUP($B154,テーブル12[],4,FALSE),"")</f>
        <v/>
      </c>
      <c r="H154" s="25" t="str">
        <f t="shared" si="4"/>
        <v/>
      </c>
      <c r="I154" s="31" t="str">
        <f t="shared" si="5"/>
        <v/>
      </c>
    </row>
    <row r="155" spans="4:9">
      <c r="D155" s="27" t="str">
        <f>IFERROR(VLOOKUP(A155,テーブル11[],2,FALSE),"")</f>
        <v/>
      </c>
      <c r="E155" s="25" t="str">
        <f>IFERROR(VLOOKUP($B155,テーブル12[],2,FALSE),"")</f>
        <v/>
      </c>
      <c r="F155" s="25" t="str">
        <f>IFERROR(VLOOKUP($B155,テーブル12[],3,FALSE),"")</f>
        <v/>
      </c>
      <c r="G155" s="31" t="str">
        <f>IFERROR(VLOOKUP($B155,テーブル12[],4,FALSE),"")</f>
        <v/>
      </c>
      <c r="H155" s="25" t="str">
        <f t="shared" si="4"/>
        <v/>
      </c>
      <c r="I155" s="31" t="str">
        <f t="shared" si="5"/>
        <v/>
      </c>
    </row>
    <row r="156" spans="4:9">
      <c r="D156" s="27" t="str">
        <f>IFERROR(VLOOKUP(A156,テーブル11[],2,FALSE),"")</f>
        <v/>
      </c>
      <c r="E156" s="25" t="str">
        <f>IFERROR(VLOOKUP($B156,テーブル12[],2,FALSE),"")</f>
        <v/>
      </c>
      <c r="F156" s="25" t="str">
        <f>IFERROR(VLOOKUP($B156,テーブル12[],3,FALSE),"")</f>
        <v/>
      </c>
      <c r="G156" s="31" t="str">
        <f>IFERROR(VLOOKUP($B156,テーブル12[],4,FALSE),"")</f>
        <v/>
      </c>
      <c r="H156" s="25" t="str">
        <f t="shared" si="4"/>
        <v/>
      </c>
      <c r="I156" s="31" t="str">
        <f t="shared" si="5"/>
        <v/>
      </c>
    </row>
    <row r="157" spans="4:9">
      <c r="D157" s="27" t="str">
        <f>IFERROR(VLOOKUP(A157,テーブル11[],2,FALSE),"")</f>
        <v/>
      </c>
      <c r="E157" s="25" t="str">
        <f>IFERROR(VLOOKUP($B157,テーブル12[],2,FALSE),"")</f>
        <v/>
      </c>
      <c r="F157" s="25" t="str">
        <f>IFERROR(VLOOKUP($B157,テーブル12[],3,FALSE),"")</f>
        <v/>
      </c>
      <c r="G157" s="31" t="str">
        <f>IFERROR(VLOOKUP($B157,テーブル12[],4,FALSE),"")</f>
        <v/>
      </c>
      <c r="H157" s="25" t="str">
        <f t="shared" si="4"/>
        <v/>
      </c>
      <c r="I157" s="31" t="str">
        <f t="shared" si="5"/>
        <v/>
      </c>
    </row>
    <row r="158" spans="4:9">
      <c r="D158" s="27" t="str">
        <f>IFERROR(VLOOKUP(A158,テーブル11[],2,FALSE),"")</f>
        <v/>
      </c>
      <c r="E158" s="25" t="str">
        <f>IFERROR(VLOOKUP($B158,テーブル12[],2,FALSE),"")</f>
        <v/>
      </c>
      <c r="F158" s="25" t="str">
        <f>IFERROR(VLOOKUP($B158,テーブル12[],3,FALSE),"")</f>
        <v/>
      </c>
      <c r="G158" s="31" t="str">
        <f>IFERROR(VLOOKUP($B158,テーブル12[],4,FALSE),"")</f>
        <v/>
      </c>
      <c r="H158" s="25" t="str">
        <f t="shared" si="4"/>
        <v/>
      </c>
      <c r="I158" s="31" t="str">
        <f t="shared" si="5"/>
        <v/>
      </c>
    </row>
    <row r="159" spans="4:9">
      <c r="D159" s="27" t="str">
        <f>IFERROR(VLOOKUP(A159,テーブル11[],2,FALSE),"")</f>
        <v/>
      </c>
      <c r="E159" s="25" t="str">
        <f>IFERROR(VLOOKUP($B159,テーブル12[],2,FALSE),"")</f>
        <v/>
      </c>
      <c r="F159" s="25" t="str">
        <f>IFERROR(VLOOKUP($B159,テーブル12[],3,FALSE),"")</f>
        <v/>
      </c>
      <c r="G159" s="31" t="str">
        <f>IFERROR(VLOOKUP($B159,テーブル12[],4,FALSE),"")</f>
        <v/>
      </c>
      <c r="H159" s="25" t="str">
        <f t="shared" si="4"/>
        <v/>
      </c>
      <c r="I159" s="31" t="str">
        <f t="shared" si="5"/>
        <v/>
      </c>
    </row>
    <row r="160" spans="4:9">
      <c r="D160" s="27" t="str">
        <f>IFERROR(VLOOKUP(A160,テーブル11[],2,FALSE),"")</f>
        <v/>
      </c>
      <c r="E160" s="25" t="str">
        <f>IFERROR(VLOOKUP($B160,テーブル12[],2,FALSE),"")</f>
        <v/>
      </c>
      <c r="F160" s="25" t="str">
        <f>IFERROR(VLOOKUP($B160,テーブル12[],3,FALSE),"")</f>
        <v/>
      </c>
      <c r="G160" s="31" t="str">
        <f>IFERROR(VLOOKUP($B160,テーブル12[],4,FALSE),"")</f>
        <v/>
      </c>
      <c r="H160" s="25" t="str">
        <f t="shared" si="4"/>
        <v/>
      </c>
      <c r="I160" s="31" t="str">
        <f t="shared" si="5"/>
        <v/>
      </c>
    </row>
    <row r="161" spans="4:9">
      <c r="D161" s="27" t="str">
        <f>IFERROR(VLOOKUP(A161,テーブル11[],2,FALSE),"")</f>
        <v/>
      </c>
      <c r="E161" s="25" t="str">
        <f>IFERROR(VLOOKUP($B161,テーブル12[],2,FALSE),"")</f>
        <v/>
      </c>
      <c r="F161" s="25" t="str">
        <f>IFERROR(VLOOKUP($B161,テーブル12[],3,FALSE),"")</f>
        <v/>
      </c>
      <c r="G161" s="31" t="str">
        <f>IFERROR(VLOOKUP($B161,テーブル12[],4,FALSE),"")</f>
        <v/>
      </c>
      <c r="H161" s="25" t="str">
        <f t="shared" si="4"/>
        <v/>
      </c>
      <c r="I161" s="31" t="str">
        <f t="shared" si="5"/>
        <v/>
      </c>
    </row>
    <row r="162" spans="4:9">
      <c r="D162" s="27" t="str">
        <f>IFERROR(VLOOKUP(A162,テーブル11[],2,FALSE),"")</f>
        <v/>
      </c>
      <c r="E162" s="25" t="str">
        <f>IFERROR(VLOOKUP($B162,テーブル12[],2,FALSE),"")</f>
        <v/>
      </c>
      <c r="F162" s="25" t="str">
        <f>IFERROR(VLOOKUP($B162,テーブル12[],3,FALSE),"")</f>
        <v/>
      </c>
      <c r="G162" s="31" t="str">
        <f>IFERROR(VLOOKUP($B162,テーブル12[],4,FALSE),"")</f>
        <v/>
      </c>
      <c r="H162" s="25" t="str">
        <f t="shared" si="4"/>
        <v/>
      </c>
      <c r="I162" s="31" t="str">
        <f t="shared" si="5"/>
        <v/>
      </c>
    </row>
    <row r="163" spans="4:9">
      <c r="D163" s="27" t="str">
        <f>IFERROR(VLOOKUP(A163,テーブル11[],2,FALSE),"")</f>
        <v/>
      </c>
      <c r="E163" s="25" t="str">
        <f>IFERROR(VLOOKUP($B163,テーブル12[],2,FALSE),"")</f>
        <v/>
      </c>
      <c r="F163" s="25" t="str">
        <f>IFERROR(VLOOKUP($B163,テーブル12[],3,FALSE),"")</f>
        <v/>
      </c>
      <c r="G163" s="31" t="str">
        <f>IFERROR(VLOOKUP($B163,テーブル12[],4,FALSE),"")</f>
        <v/>
      </c>
      <c r="H163" s="25" t="str">
        <f t="shared" si="4"/>
        <v/>
      </c>
      <c r="I163" s="31" t="str">
        <f t="shared" si="5"/>
        <v/>
      </c>
    </row>
    <row r="164" spans="4:9">
      <c r="D164" s="27" t="str">
        <f>IFERROR(VLOOKUP(A164,テーブル11[],2,FALSE),"")</f>
        <v/>
      </c>
      <c r="E164" s="25" t="str">
        <f>IFERROR(VLOOKUP($B164,テーブル12[],2,FALSE),"")</f>
        <v/>
      </c>
      <c r="F164" s="25" t="str">
        <f>IFERROR(VLOOKUP($B164,テーブル12[],3,FALSE),"")</f>
        <v/>
      </c>
      <c r="G164" s="31" t="str">
        <f>IFERROR(VLOOKUP($B164,テーブル12[],4,FALSE),"")</f>
        <v/>
      </c>
      <c r="H164" s="25" t="str">
        <f t="shared" si="4"/>
        <v/>
      </c>
      <c r="I164" s="31" t="str">
        <f t="shared" si="5"/>
        <v/>
      </c>
    </row>
    <row r="165" spans="4:9">
      <c r="D165" s="27" t="str">
        <f>IFERROR(VLOOKUP(A165,テーブル11[],2,FALSE),"")</f>
        <v/>
      </c>
      <c r="E165" s="25" t="str">
        <f>IFERROR(VLOOKUP($B165,テーブル12[],2,FALSE),"")</f>
        <v/>
      </c>
      <c r="F165" s="25" t="str">
        <f>IFERROR(VLOOKUP($B165,テーブル12[],3,FALSE),"")</f>
        <v/>
      </c>
      <c r="G165" s="31" t="str">
        <f>IFERROR(VLOOKUP($B165,テーブル12[],4,FALSE),"")</f>
        <v/>
      </c>
      <c r="H165" s="25" t="str">
        <f t="shared" si="4"/>
        <v/>
      </c>
      <c r="I165" s="31" t="str">
        <f t="shared" si="5"/>
        <v/>
      </c>
    </row>
    <row r="166" spans="4:9">
      <c r="D166" s="27" t="str">
        <f>IFERROR(VLOOKUP(A166,テーブル11[],2,FALSE),"")</f>
        <v/>
      </c>
      <c r="E166" s="25" t="str">
        <f>IFERROR(VLOOKUP($B166,テーブル12[],2,FALSE),"")</f>
        <v/>
      </c>
      <c r="F166" s="25" t="str">
        <f>IFERROR(VLOOKUP($B166,テーブル12[],3,FALSE),"")</f>
        <v/>
      </c>
      <c r="G166" s="31" t="str">
        <f>IFERROR(VLOOKUP($B166,テーブル12[],4,FALSE),"")</f>
        <v/>
      </c>
      <c r="H166" s="25" t="str">
        <f t="shared" si="4"/>
        <v/>
      </c>
      <c r="I166" s="31" t="str">
        <f t="shared" si="5"/>
        <v/>
      </c>
    </row>
    <row r="167" spans="4:9">
      <c r="D167" s="27" t="str">
        <f>IFERROR(VLOOKUP(A167,テーブル11[],2,FALSE),"")</f>
        <v/>
      </c>
      <c r="E167" s="25" t="str">
        <f>IFERROR(VLOOKUP($B167,テーブル12[],2,FALSE),"")</f>
        <v/>
      </c>
      <c r="F167" s="25" t="str">
        <f>IFERROR(VLOOKUP($B167,テーブル12[],3,FALSE),"")</f>
        <v/>
      </c>
      <c r="G167" s="31" t="str">
        <f>IFERROR(VLOOKUP($B167,テーブル12[],4,FALSE),"")</f>
        <v/>
      </c>
      <c r="H167" s="25" t="str">
        <f t="shared" si="4"/>
        <v/>
      </c>
      <c r="I167" s="31" t="str">
        <f t="shared" si="5"/>
        <v/>
      </c>
    </row>
    <row r="168" spans="4:9">
      <c r="D168" s="27" t="str">
        <f>IFERROR(VLOOKUP(A168,テーブル11[],2,FALSE),"")</f>
        <v/>
      </c>
      <c r="E168" s="25" t="str">
        <f>IFERROR(VLOOKUP($B168,テーブル12[],2,FALSE),"")</f>
        <v/>
      </c>
      <c r="F168" s="25" t="str">
        <f>IFERROR(VLOOKUP($B168,テーブル12[],3,FALSE),"")</f>
        <v/>
      </c>
      <c r="G168" s="31" t="str">
        <f>IFERROR(VLOOKUP($B168,テーブル12[],4,FALSE),"")</f>
        <v/>
      </c>
      <c r="H168" s="25" t="str">
        <f t="shared" si="4"/>
        <v/>
      </c>
      <c r="I168" s="31" t="str">
        <f t="shared" si="5"/>
        <v/>
      </c>
    </row>
    <row r="169" spans="4:9">
      <c r="D169" s="27" t="str">
        <f>IFERROR(VLOOKUP(A169,テーブル11[],2,FALSE),"")</f>
        <v/>
      </c>
      <c r="E169" s="25" t="str">
        <f>IFERROR(VLOOKUP($B169,テーブル12[],2,FALSE),"")</f>
        <v/>
      </c>
      <c r="F169" s="25" t="str">
        <f>IFERROR(VLOOKUP($B169,テーブル12[],3,FALSE),"")</f>
        <v/>
      </c>
      <c r="G169" s="31" t="str">
        <f>IFERROR(VLOOKUP($B169,テーブル12[],4,FALSE),"")</f>
        <v/>
      </c>
      <c r="H169" s="25" t="str">
        <f t="shared" si="4"/>
        <v/>
      </c>
      <c r="I169" s="31" t="str">
        <f t="shared" si="5"/>
        <v/>
      </c>
    </row>
    <row r="170" spans="4:9">
      <c r="D170" s="27" t="str">
        <f>IFERROR(VLOOKUP(A170,テーブル11[],2,FALSE),"")</f>
        <v/>
      </c>
      <c r="E170" s="25" t="str">
        <f>IFERROR(VLOOKUP($B170,テーブル12[],2,FALSE),"")</f>
        <v/>
      </c>
      <c r="F170" s="25" t="str">
        <f>IFERROR(VLOOKUP($B170,テーブル12[],3,FALSE),"")</f>
        <v/>
      </c>
      <c r="G170" s="31" t="str">
        <f>IFERROR(VLOOKUP($B170,テーブル12[],4,FALSE),"")</f>
        <v/>
      </c>
      <c r="H170" s="25" t="str">
        <f t="shared" si="4"/>
        <v/>
      </c>
      <c r="I170" s="31" t="str">
        <f t="shared" si="5"/>
        <v/>
      </c>
    </row>
    <row r="171" spans="4:9">
      <c r="D171" s="27" t="str">
        <f>IFERROR(VLOOKUP(A171,テーブル11[],2,FALSE),"")</f>
        <v/>
      </c>
      <c r="E171" s="25" t="str">
        <f>IFERROR(VLOOKUP($B171,テーブル12[],2,FALSE),"")</f>
        <v/>
      </c>
      <c r="F171" s="25" t="str">
        <f>IFERROR(VLOOKUP($B171,テーブル12[],3,FALSE),"")</f>
        <v/>
      </c>
      <c r="G171" s="31" t="str">
        <f>IFERROR(VLOOKUP($B171,テーブル12[],4,FALSE),"")</f>
        <v/>
      </c>
      <c r="H171" s="25" t="str">
        <f t="shared" si="4"/>
        <v/>
      </c>
      <c r="I171" s="31" t="str">
        <f t="shared" si="5"/>
        <v/>
      </c>
    </row>
    <row r="172" spans="4:9">
      <c r="D172" s="27" t="str">
        <f>IFERROR(VLOOKUP(A172,テーブル11[],2,FALSE),"")</f>
        <v/>
      </c>
      <c r="E172" s="25" t="str">
        <f>IFERROR(VLOOKUP($B172,テーブル12[],2,FALSE),"")</f>
        <v/>
      </c>
      <c r="F172" s="25" t="str">
        <f>IFERROR(VLOOKUP($B172,テーブル12[],3,FALSE),"")</f>
        <v/>
      </c>
      <c r="G172" s="31" t="str">
        <f>IFERROR(VLOOKUP($B172,テーブル12[],4,FALSE),"")</f>
        <v/>
      </c>
      <c r="H172" s="25" t="str">
        <f t="shared" si="4"/>
        <v/>
      </c>
      <c r="I172" s="31" t="str">
        <f t="shared" si="5"/>
        <v/>
      </c>
    </row>
    <row r="173" spans="4:9">
      <c r="D173" s="27" t="str">
        <f>IFERROR(VLOOKUP(A173,テーブル11[],2,FALSE),"")</f>
        <v/>
      </c>
      <c r="E173" s="25" t="str">
        <f>IFERROR(VLOOKUP($B173,テーブル12[],2,FALSE),"")</f>
        <v/>
      </c>
      <c r="F173" s="25" t="str">
        <f>IFERROR(VLOOKUP($B173,テーブル12[],3,FALSE),"")</f>
        <v/>
      </c>
      <c r="G173" s="31" t="str">
        <f>IFERROR(VLOOKUP($B173,テーブル12[],4,FALSE),"")</f>
        <v/>
      </c>
      <c r="H173" s="25" t="str">
        <f t="shared" si="4"/>
        <v/>
      </c>
      <c r="I173" s="31" t="str">
        <f t="shared" si="5"/>
        <v/>
      </c>
    </row>
    <row r="174" spans="4:9">
      <c r="D174" s="27" t="str">
        <f>IFERROR(VLOOKUP(A174,テーブル11[],2,FALSE),"")</f>
        <v/>
      </c>
      <c r="E174" s="25" t="str">
        <f>IFERROR(VLOOKUP($B174,テーブル12[],2,FALSE),"")</f>
        <v/>
      </c>
      <c r="F174" s="25" t="str">
        <f>IFERROR(VLOOKUP($B174,テーブル12[],3,FALSE),"")</f>
        <v/>
      </c>
      <c r="G174" s="31" t="str">
        <f>IFERROR(VLOOKUP($B174,テーブル12[],4,FALSE),"")</f>
        <v/>
      </c>
      <c r="H174" s="25" t="str">
        <f t="shared" si="4"/>
        <v/>
      </c>
      <c r="I174" s="31" t="str">
        <f t="shared" si="5"/>
        <v/>
      </c>
    </row>
    <row r="175" spans="4:9">
      <c r="D175" s="27" t="str">
        <f>IFERROR(VLOOKUP(A175,テーブル11[],2,FALSE),"")</f>
        <v/>
      </c>
      <c r="E175" s="25" t="str">
        <f>IFERROR(VLOOKUP($B175,テーブル12[],2,FALSE),"")</f>
        <v/>
      </c>
      <c r="F175" s="25" t="str">
        <f>IFERROR(VLOOKUP($B175,テーブル12[],3,FALSE),"")</f>
        <v/>
      </c>
      <c r="G175" s="31" t="str">
        <f>IFERROR(VLOOKUP($B175,テーブル12[],4,FALSE),"")</f>
        <v/>
      </c>
      <c r="H175" s="25" t="str">
        <f t="shared" si="4"/>
        <v/>
      </c>
      <c r="I175" s="31" t="str">
        <f t="shared" si="5"/>
        <v/>
      </c>
    </row>
    <row r="176" spans="4:9">
      <c r="D176" s="27" t="str">
        <f>IFERROR(VLOOKUP(A176,テーブル11[],2,FALSE),"")</f>
        <v/>
      </c>
      <c r="E176" s="25" t="str">
        <f>IFERROR(VLOOKUP($B176,テーブル12[],2,FALSE),"")</f>
        <v/>
      </c>
      <c r="F176" s="25" t="str">
        <f>IFERROR(VLOOKUP($B176,テーブル12[],3,FALSE),"")</f>
        <v/>
      </c>
      <c r="G176" s="31" t="str">
        <f>IFERROR(VLOOKUP($B176,テーブル12[],4,FALSE),"")</f>
        <v/>
      </c>
      <c r="H176" s="25" t="str">
        <f t="shared" si="4"/>
        <v/>
      </c>
      <c r="I176" s="31" t="str">
        <f t="shared" si="5"/>
        <v/>
      </c>
    </row>
    <row r="177" spans="4:9">
      <c r="D177" s="27" t="str">
        <f>IFERROR(VLOOKUP(A177,テーブル11[],2,FALSE),"")</f>
        <v/>
      </c>
      <c r="E177" s="25" t="str">
        <f>IFERROR(VLOOKUP($B177,テーブル12[],2,FALSE),"")</f>
        <v/>
      </c>
      <c r="F177" s="25" t="str">
        <f>IFERROR(VLOOKUP($B177,テーブル12[],3,FALSE),"")</f>
        <v/>
      </c>
      <c r="G177" s="31" t="str">
        <f>IFERROR(VLOOKUP($B177,テーブル12[],4,FALSE),"")</f>
        <v/>
      </c>
      <c r="H177" s="25" t="str">
        <f t="shared" si="4"/>
        <v/>
      </c>
      <c r="I177" s="31" t="str">
        <f t="shared" si="5"/>
        <v/>
      </c>
    </row>
    <row r="178" spans="4:9">
      <c r="D178" s="27" t="str">
        <f>IFERROR(VLOOKUP(A178,テーブル11[],2,FALSE),"")</f>
        <v/>
      </c>
      <c r="E178" s="25" t="str">
        <f>IFERROR(VLOOKUP($B178,テーブル12[],2,FALSE),"")</f>
        <v/>
      </c>
      <c r="F178" s="25" t="str">
        <f>IFERROR(VLOOKUP($B178,テーブル12[],3,FALSE),"")</f>
        <v/>
      </c>
      <c r="G178" s="31" t="str">
        <f>IFERROR(VLOOKUP($B178,テーブル12[],4,FALSE),"")</f>
        <v/>
      </c>
      <c r="H178" s="25" t="str">
        <f t="shared" si="4"/>
        <v/>
      </c>
      <c r="I178" s="31" t="str">
        <f t="shared" si="5"/>
        <v/>
      </c>
    </row>
    <row r="179" spans="4:9">
      <c r="D179" s="27" t="str">
        <f>IFERROR(VLOOKUP(A179,テーブル11[],2,FALSE),"")</f>
        <v/>
      </c>
      <c r="E179" s="25" t="str">
        <f>IFERROR(VLOOKUP($B179,テーブル12[],2,FALSE),"")</f>
        <v/>
      </c>
      <c r="F179" s="25" t="str">
        <f>IFERROR(VLOOKUP($B179,テーブル12[],3,FALSE),"")</f>
        <v/>
      </c>
      <c r="G179" s="31" t="str">
        <f>IFERROR(VLOOKUP($B179,テーブル12[],4,FALSE),"")</f>
        <v/>
      </c>
      <c r="H179" s="25" t="str">
        <f t="shared" si="4"/>
        <v/>
      </c>
      <c r="I179" s="31" t="str">
        <f t="shared" si="5"/>
        <v/>
      </c>
    </row>
    <row r="180" spans="4:9">
      <c r="D180" s="27" t="str">
        <f>IFERROR(VLOOKUP(A180,テーブル11[],2,FALSE),"")</f>
        <v/>
      </c>
      <c r="E180" s="25" t="str">
        <f>IFERROR(VLOOKUP($B180,テーブル12[],2,FALSE),"")</f>
        <v/>
      </c>
      <c r="F180" s="25" t="str">
        <f>IFERROR(VLOOKUP($B180,テーブル12[],3,FALSE),"")</f>
        <v/>
      </c>
      <c r="G180" s="31" t="str">
        <f>IFERROR(VLOOKUP($B180,テーブル12[],4,FALSE),"")</f>
        <v/>
      </c>
      <c r="H180" s="25" t="str">
        <f t="shared" si="4"/>
        <v/>
      </c>
      <c r="I180" s="31" t="str">
        <f t="shared" si="5"/>
        <v/>
      </c>
    </row>
    <row r="181" spans="4:9">
      <c r="D181" s="27" t="str">
        <f>IFERROR(VLOOKUP(A181,テーブル11[],2,FALSE),"")</f>
        <v/>
      </c>
      <c r="E181" s="25" t="str">
        <f>IFERROR(VLOOKUP($B181,テーブル12[],2,FALSE),"")</f>
        <v/>
      </c>
      <c r="F181" s="25" t="str">
        <f>IFERROR(VLOOKUP($B181,テーブル12[],3,FALSE),"")</f>
        <v/>
      </c>
      <c r="G181" s="31" t="str">
        <f>IFERROR(VLOOKUP($B181,テーブル12[],4,FALSE),"")</f>
        <v/>
      </c>
      <c r="H181" s="25" t="str">
        <f t="shared" si="4"/>
        <v/>
      </c>
      <c r="I181" s="31" t="str">
        <f t="shared" si="5"/>
        <v/>
      </c>
    </row>
    <row r="182" spans="4:9">
      <c r="D182" s="27" t="str">
        <f>IFERROR(VLOOKUP(A182,テーブル11[],2,FALSE),"")</f>
        <v/>
      </c>
      <c r="E182" s="25" t="str">
        <f>IFERROR(VLOOKUP($B182,テーブル12[],2,FALSE),"")</f>
        <v/>
      </c>
      <c r="F182" s="25" t="str">
        <f>IFERROR(VLOOKUP($B182,テーブル12[],3,FALSE),"")</f>
        <v/>
      </c>
      <c r="G182" s="31" t="str">
        <f>IFERROR(VLOOKUP($B182,テーブル12[],4,FALSE),"")</f>
        <v/>
      </c>
      <c r="H182" s="25" t="str">
        <f t="shared" si="4"/>
        <v/>
      </c>
      <c r="I182" s="31" t="str">
        <f t="shared" si="5"/>
        <v/>
      </c>
    </row>
    <row r="183" spans="4:9">
      <c r="D183" s="27" t="str">
        <f>IFERROR(VLOOKUP(A183,テーブル11[],2,FALSE),"")</f>
        <v/>
      </c>
      <c r="E183" s="25" t="str">
        <f>IFERROR(VLOOKUP($B183,テーブル12[],2,FALSE),"")</f>
        <v/>
      </c>
      <c r="F183" s="25" t="str">
        <f>IFERROR(VLOOKUP($B183,テーブル12[],3,FALSE),"")</f>
        <v/>
      </c>
      <c r="G183" s="31" t="str">
        <f>IFERROR(VLOOKUP($B183,テーブル12[],4,FALSE),"")</f>
        <v/>
      </c>
      <c r="H183" s="25" t="str">
        <f t="shared" si="4"/>
        <v/>
      </c>
      <c r="I183" s="31" t="str">
        <f t="shared" si="5"/>
        <v/>
      </c>
    </row>
    <row r="184" spans="4:9">
      <c r="D184" s="27" t="str">
        <f>IFERROR(VLOOKUP(A184,テーブル11[],2,FALSE),"")</f>
        <v/>
      </c>
      <c r="E184" s="25" t="str">
        <f>IFERROR(VLOOKUP($B184,テーブル12[],2,FALSE),"")</f>
        <v/>
      </c>
      <c r="F184" s="25" t="str">
        <f>IFERROR(VLOOKUP($B184,テーブル12[],3,FALSE),"")</f>
        <v/>
      </c>
      <c r="G184" s="31" t="str">
        <f>IFERROR(VLOOKUP($B184,テーブル12[],4,FALSE),"")</f>
        <v/>
      </c>
      <c r="H184" s="25" t="str">
        <f t="shared" si="4"/>
        <v/>
      </c>
      <c r="I184" s="31" t="str">
        <f t="shared" si="5"/>
        <v/>
      </c>
    </row>
    <row r="185" spans="4:9">
      <c r="D185" s="27" t="str">
        <f>IFERROR(VLOOKUP(A185,テーブル11[],2,FALSE),"")</f>
        <v/>
      </c>
      <c r="E185" s="25" t="str">
        <f>IFERROR(VLOOKUP($B185,テーブル12[],2,FALSE),"")</f>
        <v/>
      </c>
      <c r="F185" s="25" t="str">
        <f>IFERROR(VLOOKUP($B185,テーブル12[],3,FALSE),"")</f>
        <v/>
      </c>
      <c r="G185" s="31" t="str">
        <f>IFERROR(VLOOKUP($B185,テーブル12[],4,FALSE),"")</f>
        <v/>
      </c>
      <c r="H185" s="25" t="str">
        <f t="shared" si="4"/>
        <v/>
      </c>
      <c r="I185" s="31" t="str">
        <f t="shared" si="5"/>
        <v/>
      </c>
    </row>
    <row r="186" spans="4:9">
      <c r="D186" s="27" t="str">
        <f>IFERROR(VLOOKUP(A186,テーブル11[],2,FALSE),"")</f>
        <v/>
      </c>
      <c r="E186" s="25" t="str">
        <f>IFERROR(VLOOKUP($B186,テーブル12[],2,FALSE),"")</f>
        <v/>
      </c>
      <c r="F186" s="25" t="str">
        <f>IFERROR(VLOOKUP($B186,テーブル12[],3,FALSE),"")</f>
        <v/>
      </c>
      <c r="G186" s="31" t="str">
        <f>IFERROR(VLOOKUP($B186,テーブル12[],4,FALSE),"")</f>
        <v/>
      </c>
      <c r="H186" s="25" t="str">
        <f t="shared" si="4"/>
        <v/>
      </c>
      <c r="I186" s="31" t="str">
        <f t="shared" si="5"/>
        <v/>
      </c>
    </row>
    <row r="187" spans="4:9">
      <c r="D187" s="27" t="str">
        <f>IFERROR(VLOOKUP(A187,テーブル11[],2,FALSE),"")</f>
        <v/>
      </c>
      <c r="E187" s="25" t="str">
        <f>IFERROR(VLOOKUP($B187,テーブル12[],2,FALSE),"")</f>
        <v/>
      </c>
      <c r="F187" s="25" t="str">
        <f>IFERROR(VLOOKUP($B187,テーブル12[],3,FALSE),"")</f>
        <v/>
      </c>
      <c r="G187" s="31" t="str">
        <f>IFERROR(VLOOKUP($B187,テーブル12[],4,FALSE),"")</f>
        <v/>
      </c>
      <c r="H187" s="25" t="str">
        <f t="shared" si="4"/>
        <v/>
      </c>
      <c r="I187" s="31" t="str">
        <f t="shared" si="5"/>
        <v/>
      </c>
    </row>
    <row r="188" spans="4:9">
      <c r="D188" s="27" t="str">
        <f>IFERROR(VLOOKUP(A188,テーブル11[],2,FALSE),"")</f>
        <v/>
      </c>
      <c r="E188" s="25" t="str">
        <f>IFERROR(VLOOKUP($B188,テーブル12[],2,FALSE),"")</f>
        <v/>
      </c>
      <c r="F188" s="25" t="str">
        <f>IFERROR(VLOOKUP($B188,テーブル12[],3,FALSE),"")</f>
        <v/>
      </c>
      <c r="G188" s="31" t="str">
        <f>IFERROR(VLOOKUP($B188,テーブル12[],4,FALSE),"")</f>
        <v/>
      </c>
      <c r="H188" s="25" t="str">
        <f t="shared" si="4"/>
        <v/>
      </c>
      <c r="I188" s="31" t="str">
        <f t="shared" si="5"/>
        <v/>
      </c>
    </row>
    <row r="189" spans="4:9">
      <c r="D189" s="27" t="str">
        <f>IFERROR(VLOOKUP(A189,テーブル11[],2,FALSE),"")</f>
        <v/>
      </c>
      <c r="E189" s="25" t="str">
        <f>IFERROR(VLOOKUP($B189,テーブル12[],2,FALSE),"")</f>
        <v/>
      </c>
      <c r="F189" s="25" t="str">
        <f>IFERROR(VLOOKUP($B189,テーブル12[],3,FALSE),"")</f>
        <v/>
      </c>
      <c r="G189" s="31" t="str">
        <f>IFERROR(VLOOKUP($B189,テーブル12[],4,FALSE),"")</f>
        <v/>
      </c>
      <c r="H189" s="25" t="str">
        <f t="shared" si="4"/>
        <v/>
      </c>
      <c r="I189" s="31" t="str">
        <f t="shared" si="5"/>
        <v/>
      </c>
    </row>
    <row r="190" spans="4:9">
      <c r="D190" s="27" t="str">
        <f>IFERROR(VLOOKUP(A190,テーブル11[],2,FALSE),"")</f>
        <v/>
      </c>
      <c r="E190" s="25" t="str">
        <f>IFERROR(VLOOKUP($B190,テーブル12[],2,FALSE),"")</f>
        <v/>
      </c>
      <c r="F190" s="25" t="str">
        <f>IFERROR(VLOOKUP($B190,テーブル12[],3,FALSE),"")</f>
        <v/>
      </c>
      <c r="G190" s="31" t="str">
        <f>IFERROR(VLOOKUP($B190,テーブル12[],4,FALSE),"")</f>
        <v/>
      </c>
      <c r="H190" s="25" t="str">
        <f t="shared" si="4"/>
        <v/>
      </c>
      <c r="I190" s="31" t="str">
        <f t="shared" si="5"/>
        <v/>
      </c>
    </row>
    <row r="191" spans="4:9">
      <c r="D191" s="27" t="str">
        <f>IFERROR(VLOOKUP(A191,テーブル11[],2,FALSE),"")</f>
        <v/>
      </c>
      <c r="E191" s="25" t="str">
        <f>IFERROR(VLOOKUP($B191,テーブル12[],2,FALSE),"")</f>
        <v/>
      </c>
      <c r="F191" s="25" t="str">
        <f>IFERROR(VLOOKUP($B191,テーブル12[],3,FALSE),"")</f>
        <v/>
      </c>
      <c r="G191" s="31" t="str">
        <f>IFERROR(VLOOKUP($B191,テーブル12[],4,FALSE),"")</f>
        <v/>
      </c>
      <c r="H191" s="25" t="str">
        <f t="shared" si="4"/>
        <v/>
      </c>
      <c r="I191" s="31" t="str">
        <f t="shared" si="5"/>
        <v/>
      </c>
    </row>
    <row r="192" spans="4:9">
      <c r="D192" s="27" t="str">
        <f>IFERROR(VLOOKUP(A192,テーブル11[],2,FALSE),"")</f>
        <v/>
      </c>
      <c r="E192" s="25" t="str">
        <f>IFERROR(VLOOKUP($B192,テーブル12[],2,FALSE),"")</f>
        <v/>
      </c>
      <c r="F192" s="25" t="str">
        <f>IFERROR(VLOOKUP($B192,テーブル12[],3,FALSE),"")</f>
        <v/>
      </c>
      <c r="G192" s="31" t="str">
        <f>IFERROR(VLOOKUP($B192,テーブル12[],4,FALSE),"")</f>
        <v/>
      </c>
      <c r="H192" s="25" t="str">
        <f t="shared" si="4"/>
        <v/>
      </c>
      <c r="I192" s="31" t="str">
        <f t="shared" si="5"/>
        <v/>
      </c>
    </row>
    <row r="193" spans="4:9">
      <c r="D193" s="27" t="str">
        <f>IFERROR(VLOOKUP(A193,テーブル11[],2,FALSE),"")</f>
        <v/>
      </c>
      <c r="E193" s="25" t="str">
        <f>IFERROR(VLOOKUP($B193,テーブル12[],2,FALSE),"")</f>
        <v/>
      </c>
      <c r="F193" s="25" t="str">
        <f>IFERROR(VLOOKUP($B193,テーブル12[],3,FALSE),"")</f>
        <v/>
      </c>
      <c r="G193" s="31" t="str">
        <f>IFERROR(VLOOKUP($B193,テーブル12[],4,FALSE),"")</f>
        <v/>
      </c>
      <c r="H193" s="25" t="str">
        <f t="shared" si="4"/>
        <v/>
      </c>
      <c r="I193" s="31" t="str">
        <f t="shared" si="5"/>
        <v/>
      </c>
    </row>
    <row r="194" spans="4:9">
      <c r="D194" s="27" t="str">
        <f>IFERROR(VLOOKUP(A194,テーブル11[],2,FALSE),"")</f>
        <v/>
      </c>
      <c r="E194" s="25" t="str">
        <f>IFERROR(VLOOKUP($B194,テーブル12[],2,FALSE),"")</f>
        <v/>
      </c>
      <c r="F194" s="25" t="str">
        <f>IFERROR(VLOOKUP($B194,テーブル12[],3,FALSE),"")</f>
        <v/>
      </c>
      <c r="G194" s="31" t="str">
        <f>IFERROR(VLOOKUP($B194,テーブル12[],4,FALSE),"")</f>
        <v/>
      </c>
      <c r="H194" s="25" t="str">
        <f t="shared" ref="H194:H257" si="6">IF(C194=0,"",C194)</f>
        <v/>
      </c>
      <c r="I194" s="31" t="str">
        <f t="shared" ref="I194:I257" si="7">IF(C194=0,"",G194*C194)</f>
        <v/>
      </c>
    </row>
    <row r="195" spans="4:9">
      <c r="D195" s="27" t="str">
        <f>IFERROR(VLOOKUP(A195,テーブル11[],2,FALSE),"")</f>
        <v/>
      </c>
      <c r="E195" s="25" t="str">
        <f>IFERROR(VLOOKUP($B195,テーブル12[],2,FALSE),"")</f>
        <v/>
      </c>
      <c r="F195" s="25" t="str">
        <f>IFERROR(VLOOKUP($B195,テーブル12[],3,FALSE),"")</f>
        <v/>
      </c>
      <c r="G195" s="31" t="str">
        <f>IFERROR(VLOOKUP($B195,テーブル12[],4,FALSE),"")</f>
        <v/>
      </c>
      <c r="H195" s="25" t="str">
        <f t="shared" si="6"/>
        <v/>
      </c>
      <c r="I195" s="31" t="str">
        <f t="shared" si="7"/>
        <v/>
      </c>
    </row>
    <row r="196" spans="4:9">
      <c r="D196" s="27" t="str">
        <f>IFERROR(VLOOKUP(A196,テーブル11[],2,FALSE),"")</f>
        <v/>
      </c>
      <c r="E196" s="25" t="str">
        <f>IFERROR(VLOOKUP($B196,テーブル12[],2,FALSE),"")</f>
        <v/>
      </c>
      <c r="F196" s="25" t="str">
        <f>IFERROR(VLOOKUP($B196,テーブル12[],3,FALSE),"")</f>
        <v/>
      </c>
      <c r="G196" s="31" t="str">
        <f>IFERROR(VLOOKUP($B196,テーブル12[],4,FALSE),"")</f>
        <v/>
      </c>
      <c r="H196" s="25" t="str">
        <f t="shared" si="6"/>
        <v/>
      </c>
      <c r="I196" s="31" t="str">
        <f t="shared" si="7"/>
        <v/>
      </c>
    </row>
    <row r="197" spans="4:9">
      <c r="D197" s="27" t="str">
        <f>IFERROR(VLOOKUP(A197,テーブル11[],2,FALSE),"")</f>
        <v/>
      </c>
      <c r="E197" s="25" t="str">
        <f>IFERROR(VLOOKUP($B197,テーブル12[],2,FALSE),"")</f>
        <v/>
      </c>
      <c r="F197" s="25" t="str">
        <f>IFERROR(VLOOKUP($B197,テーブル12[],3,FALSE),"")</f>
        <v/>
      </c>
      <c r="G197" s="31" t="str">
        <f>IFERROR(VLOOKUP($B197,テーブル12[],4,FALSE),"")</f>
        <v/>
      </c>
      <c r="H197" s="25" t="str">
        <f t="shared" si="6"/>
        <v/>
      </c>
      <c r="I197" s="31" t="str">
        <f t="shared" si="7"/>
        <v/>
      </c>
    </row>
    <row r="198" spans="4:9">
      <c r="D198" s="27" t="str">
        <f>IFERROR(VLOOKUP(A198,テーブル11[],2,FALSE),"")</f>
        <v/>
      </c>
      <c r="E198" s="25" t="str">
        <f>IFERROR(VLOOKUP($B198,テーブル12[],2,FALSE),"")</f>
        <v/>
      </c>
      <c r="F198" s="25" t="str">
        <f>IFERROR(VLOOKUP($B198,テーブル12[],3,FALSE),"")</f>
        <v/>
      </c>
      <c r="G198" s="31" t="str">
        <f>IFERROR(VLOOKUP($B198,テーブル12[],4,FALSE),"")</f>
        <v/>
      </c>
      <c r="H198" s="25" t="str">
        <f t="shared" si="6"/>
        <v/>
      </c>
      <c r="I198" s="31" t="str">
        <f t="shared" si="7"/>
        <v/>
      </c>
    </row>
    <row r="199" spans="4:9">
      <c r="D199" s="27" t="str">
        <f>IFERROR(VLOOKUP(A199,テーブル11[],2,FALSE),"")</f>
        <v/>
      </c>
      <c r="E199" s="25" t="str">
        <f>IFERROR(VLOOKUP($B199,テーブル12[],2,FALSE),"")</f>
        <v/>
      </c>
      <c r="F199" s="25" t="str">
        <f>IFERROR(VLOOKUP($B199,テーブル12[],3,FALSE),"")</f>
        <v/>
      </c>
      <c r="G199" s="31" t="str">
        <f>IFERROR(VLOOKUP($B199,テーブル12[],4,FALSE),"")</f>
        <v/>
      </c>
      <c r="H199" s="25" t="str">
        <f t="shared" si="6"/>
        <v/>
      </c>
      <c r="I199" s="31" t="str">
        <f t="shared" si="7"/>
        <v/>
      </c>
    </row>
    <row r="200" spans="4:9">
      <c r="D200" s="27" t="str">
        <f>IFERROR(VLOOKUP(A200,テーブル11[],2,FALSE),"")</f>
        <v/>
      </c>
      <c r="E200" s="25" t="str">
        <f>IFERROR(VLOOKUP($B200,テーブル12[],2,FALSE),"")</f>
        <v/>
      </c>
      <c r="F200" s="25" t="str">
        <f>IFERROR(VLOOKUP($B200,テーブル12[],3,FALSE),"")</f>
        <v/>
      </c>
      <c r="G200" s="31" t="str">
        <f>IFERROR(VLOOKUP($B200,テーブル12[],4,FALSE),"")</f>
        <v/>
      </c>
      <c r="H200" s="25" t="str">
        <f t="shared" si="6"/>
        <v/>
      </c>
      <c r="I200" s="31" t="str">
        <f t="shared" si="7"/>
        <v/>
      </c>
    </row>
    <row r="201" spans="4:9">
      <c r="D201" s="27" t="str">
        <f>IFERROR(VLOOKUP(A201,テーブル11[],2,FALSE),"")</f>
        <v/>
      </c>
      <c r="E201" s="25" t="str">
        <f>IFERROR(VLOOKUP($B201,テーブル12[],2,FALSE),"")</f>
        <v/>
      </c>
      <c r="F201" s="25" t="str">
        <f>IFERROR(VLOOKUP($B201,テーブル12[],3,FALSE),"")</f>
        <v/>
      </c>
      <c r="G201" s="31" t="str">
        <f>IFERROR(VLOOKUP($B201,テーブル12[],4,FALSE),"")</f>
        <v/>
      </c>
      <c r="H201" s="25" t="str">
        <f t="shared" si="6"/>
        <v/>
      </c>
      <c r="I201" s="31" t="str">
        <f t="shared" si="7"/>
        <v/>
      </c>
    </row>
    <row r="202" spans="4:9">
      <c r="D202" s="27" t="str">
        <f>IFERROR(VLOOKUP(A202,テーブル11[],2,FALSE),"")</f>
        <v/>
      </c>
      <c r="E202" s="25" t="str">
        <f>IFERROR(VLOOKUP($B202,テーブル12[],2,FALSE),"")</f>
        <v/>
      </c>
      <c r="F202" s="25" t="str">
        <f>IFERROR(VLOOKUP($B202,テーブル12[],3,FALSE),"")</f>
        <v/>
      </c>
      <c r="G202" s="31" t="str">
        <f>IFERROR(VLOOKUP($B202,テーブル12[],4,FALSE),"")</f>
        <v/>
      </c>
      <c r="H202" s="25" t="str">
        <f t="shared" si="6"/>
        <v/>
      </c>
      <c r="I202" s="31" t="str">
        <f t="shared" si="7"/>
        <v/>
      </c>
    </row>
    <row r="203" spans="4:9">
      <c r="D203" s="27" t="str">
        <f>IFERROR(VLOOKUP(A203,テーブル11[],2,FALSE),"")</f>
        <v/>
      </c>
      <c r="E203" s="25" t="str">
        <f>IFERROR(VLOOKUP($B203,テーブル12[],2,FALSE),"")</f>
        <v/>
      </c>
      <c r="F203" s="25" t="str">
        <f>IFERROR(VLOOKUP($B203,テーブル12[],3,FALSE),"")</f>
        <v/>
      </c>
      <c r="G203" s="31" t="str">
        <f>IFERROR(VLOOKUP($B203,テーブル12[],4,FALSE),"")</f>
        <v/>
      </c>
      <c r="H203" s="25" t="str">
        <f t="shared" si="6"/>
        <v/>
      </c>
      <c r="I203" s="31" t="str">
        <f t="shared" si="7"/>
        <v/>
      </c>
    </row>
    <row r="204" spans="4:9">
      <c r="D204" s="27" t="str">
        <f>IFERROR(VLOOKUP(A204,テーブル11[],2,FALSE),"")</f>
        <v/>
      </c>
      <c r="E204" s="25" t="str">
        <f>IFERROR(VLOOKUP($B204,テーブル12[],2,FALSE),"")</f>
        <v/>
      </c>
      <c r="F204" s="25" t="str">
        <f>IFERROR(VLOOKUP($B204,テーブル12[],3,FALSE),"")</f>
        <v/>
      </c>
      <c r="G204" s="31" t="str">
        <f>IFERROR(VLOOKUP($B204,テーブル12[],4,FALSE),"")</f>
        <v/>
      </c>
      <c r="H204" s="25" t="str">
        <f t="shared" si="6"/>
        <v/>
      </c>
      <c r="I204" s="31" t="str">
        <f t="shared" si="7"/>
        <v/>
      </c>
    </row>
    <row r="205" spans="4:9">
      <c r="D205" s="27" t="str">
        <f>IFERROR(VLOOKUP(A205,テーブル11[],2,FALSE),"")</f>
        <v/>
      </c>
      <c r="E205" s="25" t="str">
        <f>IFERROR(VLOOKUP($B205,テーブル12[],2,FALSE),"")</f>
        <v/>
      </c>
      <c r="F205" s="25" t="str">
        <f>IFERROR(VLOOKUP($B205,テーブル12[],3,FALSE),"")</f>
        <v/>
      </c>
      <c r="G205" s="31" t="str">
        <f>IFERROR(VLOOKUP($B205,テーブル12[],4,FALSE),"")</f>
        <v/>
      </c>
      <c r="H205" s="25" t="str">
        <f t="shared" si="6"/>
        <v/>
      </c>
      <c r="I205" s="31" t="str">
        <f t="shared" si="7"/>
        <v/>
      </c>
    </row>
    <row r="206" spans="4:9">
      <c r="D206" s="27" t="str">
        <f>IFERROR(VLOOKUP(A206,テーブル11[],2,FALSE),"")</f>
        <v/>
      </c>
      <c r="E206" s="25" t="str">
        <f>IFERROR(VLOOKUP($B206,テーブル12[],2,FALSE),"")</f>
        <v/>
      </c>
      <c r="F206" s="25" t="str">
        <f>IFERROR(VLOOKUP($B206,テーブル12[],3,FALSE),"")</f>
        <v/>
      </c>
      <c r="G206" s="31" t="str">
        <f>IFERROR(VLOOKUP($B206,テーブル12[],4,FALSE),"")</f>
        <v/>
      </c>
      <c r="H206" s="25" t="str">
        <f t="shared" si="6"/>
        <v/>
      </c>
      <c r="I206" s="31" t="str">
        <f t="shared" si="7"/>
        <v/>
      </c>
    </row>
    <row r="207" spans="4:9">
      <c r="D207" s="27" t="str">
        <f>IFERROR(VLOOKUP(A207,テーブル11[],2,FALSE),"")</f>
        <v/>
      </c>
      <c r="E207" s="25" t="str">
        <f>IFERROR(VLOOKUP($B207,テーブル12[],2,FALSE),"")</f>
        <v/>
      </c>
      <c r="F207" s="25" t="str">
        <f>IFERROR(VLOOKUP($B207,テーブル12[],3,FALSE),"")</f>
        <v/>
      </c>
      <c r="G207" s="31" t="str">
        <f>IFERROR(VLOOKUP($B207,テーブル12[],4,FALSE),"")</f>
        <v/>
      </c>
      <c r="H207" s="25" t="str">
        <f t="shared" si="6"/>
        <v/>
      </c>
      <c r="I207" s="31" t="str">
        <f t="shared" si="7"/>
        <v/>
      </c>
    </row>
    <row r="208" spans="4:9">
      <c r="D208" s="27" t="str">
        <f>IFERROR(VLOOKUP(A208,テーブル11[],2,FALSE),"")</f>
        <v/>
      </c>
      <c r="E208" s="25" t="str">
        <f>IFERROR(VLOOKUP($B208,テーブル12[],2,FALSE),"")</f>
        <v/>
      </c>
      <c r="F208" s="25" t="str">
        <f>IFERROR(VLOOKUP($B208,テーブル12[],3,FALSE),"")</f>
        <v/>
      </c>
      <c r="G208" s="31" t="str">
        <f>IFERROR(VLOOKUP($B208,テーブル12[],4,FALSE),"")</f>
        <v/>
      </c>
      <c r="H208" s="25" t="str">
        <f t="shared" si="6"/>
        <v/>
      </c>
      <c r="I208" s="31" t="str">
        <f t="shared" si="7"/>
        <v/>
      </c>
    </row>
    <row r="209" spans="4:9">
      <c r="D209" s="27" t="str">
        <f>IFERROR(VLOOKUP(A209,テーブル11[],2,FALSE),"")</f>
        <v/>
      </c>
      <c r="E209" s="25" t="str">
        <f>IFERROR(VLOOKUP($B209,テーブル12[],2,FALSE),"")</f>
        <v/>
      </c>
      <c r="F209" s="25" t="str">
        <f>IFERROR(VLOOKUP($B209,テーブル12[],3,FALSE),"")</f>
        <v/>
      </c>
      <c r="G209" s="31" t="str">
        <f>IFERROR(VLOOKUP($B209,テーブル12[],4,FALSE),"")</f>
        <v/>
      </c>
      <c r="H209" s="25" t="str">
        <f t="shared" si="6"/>
        <v/>
      </c>
      <c r="I209" s="31" t="str">
        <f t="shared" si="7"/>
        <v/>
      </c>
    </row>
    <row r="210" spans="4:9">
      <c r="D210" s="27" t="str">
        <f>IFERROR(VLOOKUP(A210,テーブル11[],2,FALSE),"")</f>
        <v/>
      </c>
      <c r="E210" s="25" t="str">
        <f>IFERROR(VLOOKUP($B210,テーブル12[],2,FALSE),"")</f>
        <v/>
      </c>
      <c r="F210" s="25" t="str">
        <f>IFERROR(VLOOKUP($B210,テーブル12[],3,FALSE),"")</f>
        <v/>
      </c>
      <c r="G210" s="31" t="str">
        <f>IFERROR(VLOOKUP($B210,テーブル12[],4,FALSE),"")</f>
        <v/>
      </c>
      <c r="H210" s="25" t="str">
        <f t="shared" si="6"/>
        <v/>
      </c>
      <c r="I210" s="31" t="str">
        <f t="shared" si="7"/>
        <v/>
      </c>
    </row>
    <row r="211" spans="4:9">
      <c r="D211" s="27" t="str">
        <f>IFERROR(VLOOKUP(A211,テーブル11[],2,FALSE),"")</f>
        <v/>
      </c>
      <c r="E211" s="25" t="str">
        <f>IFERROR(VLOOKUP($B211,テーブル12[],2,FALSE),"")</f>
        <v/>
      </c>
      <c r="F211" s="25" t="str">
        <f>IFERROR(VLOOKUP($B211,テーブル12[],3,FALSE),"")</f>
        <v/>
      </c>
      <c r="G211" s="31" t="str">
        <f>IFERROR(VLOOKUP($B211,テーブル12[],4,FALSE),"")</f>
        <v/>
      </c>
      <c r="H211" s="25" t="str">
        <f t="shared" si="6"/>
        <v/>
      </c>
      <c r="I211" s="31" t="str">
        <f t="shared" si="7"/>
        <v/>
      </c>
    </row>
    <row r="212" spans="4:9">
      <c r="D212" s="27" t="str">
        <f>IFERROR(VLOOKUP(A212,テーブル11[],2,FALSE),"")</f>
        <v/>
      </c>
      <c r="E212" s="25" t="str">
        <f>IFERROR(VLOOKUP($B212,テーブル12[],2,FALSE),"")</f>
        <v/>
      </c>
      <c r="F212" s="25" t="str">
        <f>IFERROR(VLOOKUP($B212,テーブル12[],3,FALSE),"")</f>
        <v/>
      </c>
      <c r="G212" s="31" t="str">
        <f>IFERROR(VLOOKUP($B212,テーブル12[],4,FALSE),"")</f>
        <v/>
      </c>
      <c r="H212" s="25" t="str">
        <f t="shared" si="6"/>
        <v/>
      </c>
      <c r="I212" s="31" t="str">
        <f t="shared" si="7"/>
        <v/>
      </c>
    </row>
    <row r="213" spans="4:9">
      <c r="D213" s="27" t="str">
        <f>IFERROR(VLOOKUP(A213,テーブル11[],2,FALSE),"")</f>
        <v/>
      </c>
      <c r="E213" s="25" t="str">
        <f>IFERROR(VLOOKUP($B213,テーブル12[],2,FALSE),"")</f>
        <v/>
      </c>
      <c r="F213" s="25" t="str">
        <f>IFERROR(VLOOKUP($B213,テーブル12[],3,FALSE),"")</f>
        <v/>
      </c>
      <c r="G213" s="31" t="str">
        <f>IFERROR(VLOOKUP($B213,テーブル12[],4,FALSE),"")</f>
        <v/>
      </c>
      <c r="H213" s="25" t="str">
        <f t="shared" si="6"/>
        <v/>
      </c>
      <c r="I213" s="31" t="str">
        <f t="shared" si="7"/>
        <v/>
      </c>
    </row>
    <row r="214" spans="4:9">
      <c r="D214" s="27" t="str">
        <f>IFERROR(VLOOKUP(A214,テーブル11[],2,FALSE),"")</f>
        <v/>
      </c>
      <c r="E214" s="25" t="str">
        <f>IFERROR(VLOOKUP($B214,テーブル12[],2,FALSE),"")</f>
        <v/>
      </c>
      <c r="F214" s="25" t="str">
        <f>IFERROR(VLOOKUP($B214,テーブル12[],3,FALSE),"")</f>
        <v/>
      </c>
      <c r="G214" s="31" t="str">
        <f>IFERROR(VLOOKUP($B214,テーブル12[],4,FALSE),"")</f>
        <v/>
      </c>
      <c r="H214" s="25" t="str">
        <f t="shared" si="6"/>
        <v/>
      </c>
      <c r="I214" s="31" t="str">
        <f t="shared" si="7"/>
        <v/>
      </c>
    </row>
    <row r="215" spans="4:9">
      <c r="D215" s="27" t="str">
        <f>IFERROR(VLOOKUP(A215,テーブル11[],2,FALSE),"")</f>
        <v/>
      </c>
      <c r="E215" s="25" t="str">
        <f>IFERROR(VLOOKUP($B215,テーブル12[],2,FALSE),"")</f>
        <v/>
      </c>
      <c r="F215" s="25" t="str">
        <f>IFERROR(VLOOKUP($B215,テーブル12[],3,FALSE),"")</f>
        <v/>
      </c>
      <c r="G215" s="31" t="str">
        <f>IFERROR(VLOOKUP($B215,テーブル12[],4,FALSE),"")</f>
        <v/>
      </c>
      <c r="H215" s="25" t="str">
        <f t="shared" si="6"/>
        <v/>
      </c>
      <c r="I215" s="31" t="str">
        <f t="shared" si="7"/>
        <v/>
      </c>
    </row>
    <row r="216" spans="4:9">
      <c r="D216" s="27" t="str">
        <f>IFERROR(VLOOKUP(A216,テーブル11[],2,FALSE),"")</f>
        <v/>
      </c>
      <c r="E216" s="25" t="str">
        <f>IFERROR(VLOOKUP($B216,テーブル12[],2,FALSE),"")</f>
        <v/>
      </c>
      <c r="F216" s="25" t="str">
        <f>IFERROR(VLOOKUP($B216,テーブル12[],3,FALSE),"")</f>
        <v/>
      </c>
      <c r="G216" s="31" t="str">
        <f>IFERROR(VLOOKUP($B216,テーブル12[],4,FALSE),"")</f>
        <v/>
      </c>
      <c r="H216" s="25" t="str">
        <f t="shared" si="6"/>
        <v/>
      </c>
      <c r="I216" s="31" t="str">
        <f t="shared" si="7"/>
        <v/>
      </c>
    </row>
    <row r="217" spans="4:9">
      <c r="D217" s="27" t="str">
        <f>IFERROR(VLOOKUP(A217,テーブル11[],2,FALSE),"")</f>
        <v/>
      </c>
      <c r="E217" s="25" t="str">
        <f>IFERROR(VLOOKUP($B217,テーブル12[],2,FALSE),"")</f>
        <v/>
      </c>
      <c r="F217" s="25" t="str">
        <f>IFERROR(VLOOKUP($B217,テーブル12[],3,FALSE),"")</f>
        <v/>
      </c>
      <c r="G217" s="31" t="str">
        <f>IFERROR(VLOOKUP($B217,テーブル12[],4,FALSE),"")</f>
        <v/>
      </c>
      <c r="H217" s="25" t="str">
        <f t="shared" si="6"/>
        <v/>
      </c>
      <c r="I217" s="31" t="str">
        <f t="shared" si="7"/>
        <v/>
      </c>
    </row>
    <row r="218" spans="4:9">
      <c r="D218" s="27" t="str">
        <f>IFERROR(VLOOKUP(A218,テーブル11[],2,FALSE),"")</f>
        <v/>
      </c>
      <c r="E218" s="25" t="str">
        <f>IFERROR(VLOOKUP($B218,テーブル12[],2,FALSE),"")</f>
        <v/>
      </c>
      <c r="F218" s="25" t="str">
        <f>IFERROR(VLOOKUP($B218,テーブル12[],3,FALSE),"")</f>
        <v/>
      </c>
      <c r="G218" s="31" t="str">
        <f>IFERROR(VLOOKUP($B218,テーブル12[],4,FALSE),"")</f>
        <v/>
      </c>
      <c r="H218" s="25" t="str">
        <f t="shared" si="6"/>
        <v/>
      </c>
      <c r="I218" s="31" t="str">
        <f t="shared" si="7"/>
        <v/>
      </c>
    </row>
    <row r="219" spans="4:9">
      <c r="D219" s="27" t="str">
        <f>IFERROR(VLOOKUP(A219,テーブル11[],2,FALSE),"")</f>
        <v/>
      </c>
      <c r="E219" s="25" t="str">
        <f>IFERROR(VLOOKUP($B219,テーブル12[],2,FALSE),"")</f>
        <v/>
      </c>
      <c r="F219" s="25" t="str">
        <f>IFERROR(VLOOKUP($B219,テーブル12[],3,FALSE),"")</f>
        <v/>
      </c>
      <c r="G219" s="31" t="str">
        <f>IFERROR(VLOOKUP($B219,テーブル12[],4,FALSE),"")</f>
        <v/>
      </c>
      <c r="H219" s="25" t="str">
        <f t="shared" si="6"/>
        <v/>
      </c>
      <c r="I219" s="31" t="str">
        <f t="shared" si="7"/>
        <v/>
      </c>
    </row>
    <row r="220" spans="4:9">
      <c r="D220" s="27" t="str">
        <f>IFERROR(VLOOKUP(A220,テーブル11[],2,FALSE),"")</f>
        <v/>
      </c>
      <c r="E220" s="25" t="str">
        <f>IFERROR(VLOOKUP($B220,テーブル12[],2,FALSE),"")</f>
        <v/>
      </c>
      <c r="F220" s="25" t="str">
        <f>IFERROR(VLOOKUP($B220,テーブル12[],3,FALSE),"")</f>
        <v/>
      </c>
      <c r="G220" s="31" t="str">
        <f>IFERROR(VLOOKUP($B220,テーブル12[],4,FALSE),"")</f>
        <v/>
      </c>
      <c r="H220" s="25" t="str">
        <f t="shared" si="6"/>
        <v/>
      </c>
      <c r="I220" s="31" t="str">
        <f t="shared" si="7"/>
        <v/>
      </c>
    </row>
    <row r="221" spans="4:9">
      <c r="D221" s="27" t="str">
        <f>IFERROR(VLOOKUP(A221,テーブル11[],2,FALSE),"")</f>
        <v/>
      </c>
      <c r="E221" s="25" t="str">
        <f>IFERROR(VLOOKUP($B221,テーブル12[],2,FALSE),"")</f>
        <v/>
      </c>
      <c r="F221" s="25" t="str">
        <f>IFERROR(VLOOKUP($B221,テーブル12[],3,FALSE),"")</f>
        <v/>
      </c>
      <c r="G221" s="31" t="str">
        <f>IFERROR(VLOOKUP($B221,テーブル12[],4,FALSE),"")</f>
        <v/>
      </c>
      <c r="H221" s="25" t="str">
        <f t="shared" si="6"/>
        <v/>
      </c>
      <c r="I221" s="31" t="str">
        <f t="shared" si="7"/>
        <v/>
      </c>
    </row>
    <row r="222" spans="4:9">
      <c r="D222" s="27" t="str">
        <f>IFERROR(VLOOKUP(A222,テーブル11[],2,FALSE),"")</f>
        <v/>
      </c>
      <c r="E222" s="25" t="str">
        <f>IFERROR(VLOOKUP($B222,テーブル12[],2,FALSE),"")</f>
        <v/>
      </c>
      <c r="F222" s="25" t="str">
        <f>IFERROR(VLOOKUP($B222,テーブル12[],3,FALSE),"")</f>
        <v/>
      </c>
      <c r="G222" s="31" t="str">
        <f>IFERROR(VLOOKUP($B222,テーブル12[],4,FALSE),"")</f>
        <v/>
      </c>
      <c r="H222" s="25" t="str">
        <f t="shared" si="6"/>
        <v/>
      </c>
      <c r="I222" s="31" t="str">
        <f t="shared" si="7"/>
        <v/>
      </c>
    </row>
    <row r="223" spans="4:9">
      <c r="D223" s="27" t="str">
        <f>IFERROR(VLOOKUP(A223,テーブル11[],2,FALSE),"")</f>
        <v/>
      </c>
      <c r="E223" s="25" t="str">
        <f>IFERROR(VLOOKUP($B223,テーブル12[],2,FALSE),"")</f>
        <v/>
      </c>
      <c r="F223" s="25" t="str">
        <f>IFERROR(VLOOKUP($B223,テーブル12[],3,FALSE),"")</f>
        <v/>
      </c>
      <c r="G223" s="31" t="str">
        <f>IFERROR(VLOOKUP($B223,テーブル12[],4,FALSE),"")</f>
        <v/>
      </c>
      <c r="H223" s="25" t="str">
        <f t="shared" si="6"/>
        <v/>
      </c>
      <c r="I223" s="31" t="str">
        <f t="shared" si="7"/>
        <v/>
      </c>
    </row>
    <row r="224" spans="4:9">
      <c r="D224" s="27" t="str">
        <f>IFERROR(VLOOKUP(A224,テーブル11[],2,FALSE),"")</f>
        <v/>
      </c>
      <c r="E224" s="25" t="str">
        <f>IFERROR(VLOOKUP($B224,テーブル12[],2,FALSE),"")</f>
        <v/>
      </c>
      <c r="F224" s="25" t="str">
        <f>IFERROR(VLOOKUP($B224,テーブル12[],3,FALSE),"")</f>
        <v/>
      </c>
      <c r="G224" s="31" t="str">
        <f>IFERROR(VLOOKUP($B224,テーブル12[],4,FALSE),"")</f>
        <v/>
      </c>
      <c r="H224" s="25" t="str">
        <f t="shared" si="6"/>
        <v/>
      </c>
      <c r="I224" s="31" t="str">
        <f t="shared" si="7"/>
        <v/>
      </c>
    </row>
    <row r="225" spans="4:9">
      <c r="D225" s="27" t="str">
        <f>IFERROR(VLOOKUP(A225,テーブル11[],2,FALSE),"")</f>
        <v/>
      </c>
      <c r="E225" s="25" t="str">
        <f>IFERROR(VLOOKUP($B225,テーブル12[],2,FALSE),"")</f>
        <v/>
      </c>
      <c r="F225" s="25" t="str">
        <f>IFERROR(VLOOKUP($B225,テーブル12[],3,FALSE),"")</f>
        <v/>
      </c>
      <c r="G225" s="31" t="str">
        <f>IFERROR(VLOOKUP($B225,テーブル12[],4,FALSE),"")</f>
        <v/>
      </c>
      <c r="H225" s="25" t="str">
        <f t="shared" si="6"/>
        <v/>
      </c>
      <c r="I225" s="31" t="str">
        <f t="shared" si="7"/>
        <v/>
      </c>
    </row>
    <row r="226" spans="4:9">
      <c r="D226" s="27" t="str">
        <f>IFERROR(VLOOKUP(A226,テーブル11[],2,FALSE),"")</f>
        <v/>
      </c>
      <c r="E226" s="25" t="str">
        <f>IFERROR(VLOOKUP($B226,テーブル12[],2,FALSE),"")</f>
        <v/>
      </c>
      <c r="F226" s="25" t="str">
        <f>IFERROR(VLOOKUP($B226,テーブル12[],3,FALSE),"")</f>
        <v/>
      </c>
      <c r="G226" s="31" t="str">
        <f>IFERROR(VLOOKUP($B226,テーブル12[],4,FALSE),"")</f>
        <v/>
      </c>
      <c r="H226" s="25" t="str">
        <f t="shared" si="6"/>
        <v/>
      </c>
      <c r="I226" s="31" t="str">
        <f t="shared" si="7"/>
        <v/>
      </c>
    </row>
    <row r="227" spans="4:9">
      <c r="D227" s="27" t="str">
        <f>IFERROR(VLOOKUP(A227,テーブル11[],2,FALSE),"")</f>
        <v/>
      </c>
      <c r="E227" s="25" t="str">
        <f>IFERROR(VLOOKUP($B227,テーブル12[],2,FALSE),"")</f>
        <v/>
      </c>
      <c r="F227" s="25" t="str">
        <f>IFERROR(VLOOKUP($B227,テーブル12[],3,FALSE),"")</f>
        <v/>
      </c>
      <c r="G227" s="31" t="str">
        <f>IFERROR(VLOOKUP($B227,テーブル12[],4,FALSE),"")</f>
        <v/>
      </c>
      <c r="H227" s="25" t="str">
        <f t="shared" si="6"/>
        <v/>
      </c>
      <c r="I227" s="31" t="str">
        <f t="shared" si="7"/>
        <v/>
      </c>
    </row>
    <row r="228" spans="4:9">
      <c r="D228" s="27" t="str">
        <f>IFERROR(VLOOKUP(A228,テーブル11[],2,FALSE),"")</f>
        <v/>
      </c>
      <c r="E228" s="25" t="str">
        <f>IFERROR(VLOOKUP($B228,テーブル12[],2,FALSE),"")</f>
        <v/>
      </c>
      <c r="F228" s="25" t="str">
        <f>IFERROR(VLOOKUP($B228,テーブル12[],3,FALSE),"")</f>
        <v/>
      </c>
      <c r="G228" s="31" t="str">
        <f>IFERROR(VLOOKUP($B228,テーブル12[],4,FALSE),"")</f>
        <v/>
      </c>
      <c r="H228" s="25" t="str">
        <f t="shared" si="6"/>
        <v/>
      </c>
      <c r="I228" s="31" t="str">
        <f t="shared" si="7"/>
        <v/>
      </c>
    </row>
    <row r="229" spans="4:9">
      <c r="D229" s="27" t="str">
        <f>IFERROR(VLOOKUP(A229,テーブル11[],2,FALSE),"")</f>
        <v/>
      </c>
      <c r="E229" s="25" t="str">
        <f>IFERROR(VLOOKUP($B229,テーブル12[],2,FALSE),"")</f>
        <v/>
      </c>
      <c r="F229" s="25" t="str">
        <f>IFERROR(VLOOKUP($B229,テーブル12[],3,FALSE),"")</f>
        <v/>
      </c>
      <c r="G229" s="31" t="str">
        <f>IFERROR(VLOOKUP($B229,テーブル12[],4,FALSE),"")</f>
        <v/>
      </c>
      <c r="H229" s="25" t="str">
        <f t="shared" si="6"/>
        <v/>
      </c>
      <c r="I229" s="31" t="str">
        <f t="shared" si="7"/>
        <v/>
      </c>
    </row>
    <row r="230" spans="4:9">
      <c r="D230" s="27" t="str">
        <f>IFERROR(VLOOKUP(A230,テーブル11[],2,FALSE),"")</f>
        <v/>
      </c>
      <c r="E230" s="25" t="str">
        <f>IFERROR(VLOOKUP($B230,テーブル12[],2,FALSE),"")</f>
        <v/>
      </c>
      <c r="F230" s="25" t="str">
        <f>IFERROR(VLOOKUP($B230,テーブル12[],3,FALSE),"")</f>
        <v/>
      </c>
      <c r="G230" s="31" t="str">
        <f>IFERROR(VLOOKUP($B230,テーブル12[],4,FALSE),"")</f>
        <v/>
      </c>
      <c r="H230" s="25" t="str">
        <f t="shared" si="6"/>
        <v/>
      </c>
      <c r="I230" s="31" t="str">
        <f t="shared" si="7"/>
        <v/>
      </c>
    </row>
    <row r="231" spans="4:9">
      <c r="D231" s="27" t="str">
        <f>IFERROR(VLOOKUP(A231,テーブル11[],2,FALSE),"")</f>
        <v/>
      </c>
      <c r="E231" s="25" t="str">
        <f>IFERROR(VLOOKUP($B231,テーブル12[],2,FALSE),"")</f>
        <v/>
      </c>
      <c r="F231" s="25" t="str">
        <f>IFERROR(VLOOKUP($B231,テーブル12[],3,FALSE),"")</f>
        <v/>
      </c>
      <c r="G231" s="31" t="str">
        <f>IFERROR(VLOOKUP($B231,テーブル12[],4,FALSE),"")</f>
        <v/>
      </c>
      <c r="H231" s="25" t="str">
        <f t="shared" si="6"/>
        <v/>
      </c>
      <c r="I231" s="31" t="str">
        <f t="shared" si="7"/>
        <v/>
      </c>
    </row>
    <row r="232" spans="4:9">
      <c r="D232" s="27" t="str">
        <f>IFERROR(VLOOKUP(A232,テーブル11[],2,FALSE),"")</f>
        <v/>
      </c>
      <c r="E232" s="25" t="str">
        <f>IFERROR(VLOOKUP($B232,テーブル12[],2,FALSE),"")</f>
        <v/>
      </c>
      <c r="F232" s="25" t="str">
        <f>IFERROR(VLOOKUP($B232,テーブル12[],3,FALSE),"")</f>
        <v/>
      </c>
      <c r="G232" s="31" t="str">
        <f>IFERROR(VLOOKUP($B232,テーブル12[],4,FALSE),"")</f>
        <v/>
      </c>
      <c r="H232" s="25" t="str">
        <f t="shared" si="6"/>
        <v/>
      </c>
      <c r="I232" s="31" t="str">
        <f t="shared" si="7"/>
        <v/>
      </c>
    </row>
    <row r="233" spans="4:9">
      <c r="D233" s="27" t="str">
        <f>IFERROR(VLOOKUP(A233,テーブル11[],2,FALSE),"")</f>
        <v/>
      </c>
      <c r="E233" s="25" t="str">
        <f>IFERROR(VLOOKUP($B233,テーブル12[],2,FALSE),"")</f>
        <v/>
      </c>
      <c r="F233" s="25" t="str">
        <f>IFERROR(VLOOKUP($B233,テーブル12[],3,FALSE),"")</f>
        <v/>
      </c>
      <c r="G233" s="31" t="str">
        <f>IFERROR(VLOOKUP($B233,テーブル12[],4,FALSE),"")</f>
        <v/>
      </c>
      <c r="H233" s="25" t="str">
        <f t="shared" si="6"/>
        <v/>
      </c>
      <c r="I233" s="31" t="str">
        <f t="shared" si="7"/>
        <v/>
      </c>
    </row>
    <row r="234" spans="4:9">
      <c r="D234" s="27" t="str">
        <f>IFERROR(VLOOKUP(A234,テーブル11[],2,FALSE),"")</f>
        <v/>
      </c>
      <c r="E234" s="25" t="str">
        <f>IFERROR(VLOOKUP($B234,テーブル12[],2,FALSE),"")</f>
        <v/>
      </c>
      <c r="F234" s="25" t="str">
        <f>IFERROR(VLOOKUP($B234,テーブル12[],3,FALSE),"")</f>
        <v/>
      </c>
      <c r="G234" s="31" t="str">
        <f>IFERROR(VLOOKUP($B234,テーブル12[],4,FALSE),"")</f>
        <v/>
      </c>
      <c r="H234" s="25" t="str">
        <f t="shared" si="6"/>
        <v/>
      </c>
      <c r="I234" s="31" t="str">
        <f t="shared" si="7"/>
        <v/>
      </c>
    </row>
    <row r="235" spans="4:9">
      <c r="D235" s="27" t="str">
        <f>IFERROR(VLOOKUP(A235,テーブル11[],2,FALSE),"")</f>
        <v/>
      </c>
      <c r="E235" s="25" t="str">
        <f>IFERROR(VLOOKUP($B235,テーブル12[],2,FALSE),"")</f>
        <v/>
      </c>
      <c r="F235" s="25" t="str">
        <f>IFERROR(VLOOKUP($B235,テーブル12[],3,FALSE),"")</f>
        <v/>
      </c>
      <c r="G235" s="31" t="str">
        <f>IFERROR(VLOOKUP($B235,テーブル12[],4,FALSE),"")</f>
        <v/>
      </c>
      <c r="H235" s="25" t="str">
        <f t="shared" si="6"/>
        <v/>
      </c>
      <c r="I235" s="31" t="str">
        <f t="shared" si="7"/>
        <v/>
      </c>
    </row>
    <row r="236" spans="4:9">
      <c r="D236" s="27" t="str">
        <f>IFERROR(VLOOKUP(A236,テーブル11[],2,FALSE),"")</f>
        <v/>
      </c>
      <c r="E236" s="25" t="str">
        <f>IFERROR(VLOOKUP($B236,テーブル12[],2,FALSE),"")</f>
        <v/>
      </c>
      <c r="F236" s="25" t="str">
        <f>IFERROR(VLOOKUP($B236,テーブル12[],3,FALSE),"")</f>
        <v/>
      </c>
      <c r="G236" s="31" t="str">
        <f>IFERROR(VLOOKUP($B236,テーブル12[],4,FALSE),"")</f>
        <v/>
      </c>
      <c r="H236" s="25" t="str">
        <f t="shared" si="6"/>
        <v/>
      </c>
      <c r="I236" s="31" t="str">
        <f t="shared" si="7"/>
        <v/>
      </c>
    </row>
    <row r="237" spans="4:9">
      <c r="D237" s="27" t="str">
        <f>IFERROR(VLOOKUP(A237,テーブル11[],2,FALSE),"")</f>
        <v/>
      </c>
      <c r="E237" s="25" t="str">
        <f>IFERROR(VLOOKUP($B237,テーブル12[],2,FALSE),"")</f>
        <v/>
      </c>
      <c r="F237" s="25" t="str">
        <f>IFERROR(VLOOKUP($B237,テーブル12[],3,FALSE),"")</f>
        <v/>
      </c>
      <c r="G237" s="31" t="str">
        <f>IFERROR(VLOOKUP($B237,テーブル12[],4,FALSE),"")</f>
        <v/>
      </c>
      <c r="H237" s="25" t="str">
        <f t="shared" si="6"/>
        <v/>
      </c>
      <c r="I237" s="31" t="str">
        <f t="shared" si="7"/>
        <v/>
      </c>
    </row>
    <row r="238" spans="4:9">
      <c r="D238" s="27" t="str">
        <f>IFERROR(VLOOKUP(A238,テーブル11[],2,FALSE),"")</f>
        <v/>
      </c>
      <c r="E238" s="25" t="str">
        <f>IFERROR(VLOOKUP($B238,テーブル12[],2,FALSE),"")</f>
        <v/>
      </c>
      <c r="F238" s="25" t="str">
        <f>IFERROR(VLOOKUP($B238,テーブル12[],3,FALSE),"")</f>
        <v/>
      </c>
      <c r="G238" s="31" t="str">
        <f>IFERROR(VLOOKUP($B238,テーブル12[],4,FALSE),"")</f>
        <v/>
      </c>
      <c r="H238" s="25" t="str">
        <f t="shared" si="6"/>
        <v/>
      </c>
      <c r="I238" s="31" t="str">
        <f t="shared" si="7"/>
        <v/>
      </c>
    </row>
    <row r="239" spans="4:9">
      <c r="D239" s="27" t="str">
        <f>IFERROR(VLOOKUP(A239,テーブル11[],2,FALSE),"")</f>
        <v/>
      </c>
      <c r="E239" s="25" t="str">
        <f>IFERROR(VLOOKUP($B239,テーブル12[],2,FALSE),"")</f>
        <v/>
      </c>
      <c r="F239" s="25" t="str">
        <f>IFERROR(VLOOKUP($B239,テーブル12[],3,FALSE),"")</f>
        <v/>
      </c>
      <c r="G239" s="31" t="str">
        <f>IFERROR(VLOOKUP($B239,テーブル12[],4,FALSE),"")</f>
        <v/>
      </c>
      <c r="H239" s="25" t="str">
        <f t="shared" si="6"/>
        <v/>
      </c>
      <c r="I239" s="31" t="str">
        <f t="shared" si="7"/>
        <v/>
      </c>
    </row>
    <row r="240" spans="4:9">
      <c r="D240" s="27" t="str">
        <f>IFERROR(VLOOKUP(A240,テーブル11[],2,FALSE),"")</f>
        <v/>
      </c>
      <c r="E240" s="25" t="str">
        <f>IFERROR(VLOOKUP($B240,テーブル12[],2,FALSE),"")</f>
        <v/>
      </c>
      <c r="F240" s="25" t="str">
        <f>IFERROR(VLOOKUP($B240,テーブル12[],3,FALSE),"")</f>
        <v/>
      </c>
      <c r="G240" s="31" t="str">
        <f>IFERROR(VLOOKUP($B240,テーブル12[],4,FALSE),"")</f>
        <v/>
      </c>
      <c r="H240" s="25" t="str">
        <f t="shared" si="6"/>
        <v/>
      </c>
      <c r="I240" s="31" t="str">
        <f t="shared" si="7"/>
        <v/>
      </c>
    </row>
    <row r="241" spans="4:9">
      <c r="D241" s="27" t="str">
        <f>IFERROR(VLOOKUP(A241,テーブル11[],2,FALSE),"")</f>
        <v/>
      </c>
      <c r="E241" s="25" t="str">
        <f>IFERROR(VLOOKUP($B241,テーブル12[],2,FALSE),"")</f>
        <v/>
      </c>
      <c r="F241" s="25" t="str">
        <f>IFERROR(VLOOKUP($B241,テーブル12[],3,FALSE),"")</f>
        <v/>
      </c>
      <c r="G241" s="31" t="str">
        <f>IFERROR(VLOOKUP($B241,テーブル12[],4,FALSE),"")</f>
        <v/>
      </c>
      <c r="H241" s="25" t="str">
        <f t="shared" si="6"/>
        <v/>
      </c>
      <c r="I241" s="31" t="str">
        <f t="shared" si="7"/>
        <v/>
      </c>
    </row>
    <row r="242" spans="4:9">
      <c r="D242" s="27" t="str">
        <f>IFERROR(VLOOKUP(A242,テーブル11[],2,FALSE),"")</f>
        <v/>
      </c>
      <c r="E242" s="25" t="str">
        <f>IFERROR(VLOOKUP($B242,テーブル12[],2,FALSE),"")</f>
        <v/>
      </c>
      <c r="F242" s="25" t="str">
        <f>IFERROR(VLOOKUP($B242,テーブル12[],3,FALSE),"")</f>
        <v/>
      </c>
      <c r="G242" s="31" t="str">
        <f>IFERROR(VLOOKUP($B242,テーブル12[],4,FALSE),"")</f>
        <v/>
      </c>
      <c r="H242" s="25" t="str">
        <f t="shared" si="6"/>
        <v/>
      </c>
      <c r="I242" s="31" t="str">
        <f t="shared" si="7"/>
        <v/>
      </c>
    </row>
    <row r="243" spans="4:9">
      <c r="D243" s="27" t="str">
        <f>IFERROR(VLOOKUP(A243,テーブル11[],2,FALSE),"")</f>
        <v/>
      </c>
      <c r="E243" s="25" t="str">
        <f>IFERROR(VLOOKUP($B243,テーブル12[],2,FALSE),"")</f>
        <v/>
      </c>
      <c r="F243" s="25" t="str">
        <f>IFERROR(VLOOKUP($B243,テーブル12[],3,FALSE),"")</f>
        <v/>
      </c>
      <c r="G243" s="31" t="str">
        <f>IFERROR(VLOOKUP($B243,テーブル12[],4,FALSE),"")</f>
        <v/>
      </c>
      <c r="H243" s="25" t="str">
        <f t="shared" si="6"/>
        <v/>
      </c>
      <c r="I243" s="31" t="str">
        <f t="shared" si="7"/>
        <v/>
      </c>
    </row>
    <row r="244" spans="4:9">
      <c r="D244" s="27" t="str">
        <f>IFERROR(VLOOKUP(A244,テーブル11[],2,FALSE),"")</f>
        <v/>
      </c>
      <c r="E244" s="25" t="str">
        <f>IFERROR(VLOOKUP($B244,テーブル12[],2,FALSE),"")</f>
        <v/>
      </c>
      <c r="F244" s="25" t="str">
        <f>IFERROR(VLOOKUP($B244,テーブル12[],3,FALSE),"")</f>
        <v/>
      </c>
      <c r="G244" s="31" t="str">
        <f>IFERROR(VLOOKUP($B244,テーブル12[],4,FALSE),"")</f>
        <v/>
      </c>
      <c r="H244" s="25" t="str">
        <f t="shared" si="6"/>
        <v/>
      </c>
      <c r="I244" s="31" t="str">
        <f t="shared" si="7"/>
        <v/>
      </c>
    </row>
    <row r="245" spans="4:9">
      <c r="D245" s="27" t="str">
        <f>IFERROR(VLOOKUP(A245,テーブル11[],2,FALSE),"")</f>
        <v/>
      </c>
      <c r="E245" s="25" t="str">
        <f>IFERROR(VLOOKUP($B245,テーブル12[],2,FALSE),"")</f>
        <v/>
      </c>
      <c r="F245" s="25" t="str">
        <f>IFERROR(VLOOKUP($B245,テーブル12[],3,FALSE),"")</f>
        <v/>
      </c>
      <c r="G245" s="31" t="str">
        <f>IFERROR(VLOOKUP($B245,テーブル12[],4,FALSE),"")</f>
        <v/>
      </c>
      <c r="H245" s="25" t="str">
        <f t="shared" si="6"/>
        <v/>
      </c>
      <c r="I245" s="31" t="str">
        <f t="shared" si="7"/>
        <v/>
      </c>
    </row>
    <row r="246" spans="4:9">
      <c r="D246" s="27" t="str">
        <f>IFERROR(VLOOKUP(A246,テーブル11[],2,FALSE),"")</f>
        <v/>
      </c>
      <c r="E246" s="25" t="str">
        <f>IFERROR(VLOOKUP($B246,テーブル12[],2,FALSE),"")</f>
        <v/>
      </c>
      <c r="F246" s="25" t="str">
        <f>IFERROR(VLOOKUP($B246,テーブル12[],3,FALSE),"")</f>
        <v/>
      </c>
      <c r="G246" s="31" t="str">
        <f>IFERROR(VLOOKUP($B246,テーブル12[],4,FALSE),"")</f>
        <v/>
      </c>
      <c r="H246" s="25" t="str">
        <f t="shared" si="6"/>
        <v/>
      </c>
      <c r="I246" s="31" t="str">
        <f t="shared" si="7"/>
        <v/>
      </c>
    </row>
    <row r="247" spans="4:9">
      <c r="D247" s="27" t="str">
        <f>IFERROR(VLOOKUP(A247,テーブル11[],2,FALSE),"")</f>
        <v/>
      </c>
      <c r="E247" s="25" t="str">
        <f>IFERROR(VLOOKUP($B247,テーブル12[],2,FALSE),"")</f>
        <v/>
      </c>
      <c r="F247" s="25" t="str">
        <f>IFERROR(VLOOKUP($B247,テーブル12[],3,FALSE),"")</f>
        <v/>
      </c>
      <c r="G247" s="31" t="str">
        <f>IFERROR(VLOOKUP($B247,テーブル12[],4,FALSE),"")</f>
        <v/>
      </c>
      <c r="H247" s="25" t="str">
        <f t="shared" si="6"/>
        <v/>
      </c>
      <c r="I247" s="31" t="str">
        <f t="shared" si="7"/>
        <v/>
      </c>
    </row>
    <row r="248" spans="4:9">
      <c r="D248" s="27" t="str">
        <f>IFERROR(VLOOKUP(A248,テーブル11[],2,FALSE),"")</f>
        <v/>
      </c>
      <c r="E248" s="25" t="str">
        <f>IFERROR(VLOOKUP($B248,テーブル12[],2,FALSE),"")</f>
        <v/>
      </c>
      <c r="F248" s="25" t="str">
        <f>IFERROR(VLOOKUP($B248,テーブル12[],3,FALSE),"")</f>
        <v/>
      </c>
      <c r="G248" s="31" t="str">
        <f>IFERROR(VLOOKUP($B248,テーブル12[],4,FALSE),"")</f>
        <v/>
      </c>
      <c r="H248" s="25" t="str">
        <f t="shared" si="6"/>
        <v/>
      </c>
      <c r="I248" s="31" t="str">
        <f t="shared" si="7"/>
        <v/>
      </c>
    </row>
    <row r="249" spans="4:9">
      <c r="D249" s="27" t="str">
        <f>IFERROR(VLOOKUP(A249,テーブル11[],2,FALSE),"")</f>
        <v/>
      </c>
      <c r="E249" s="25" t="str">
        <f>IFERROR(VLOOKUP($B249,テーブル12[],2,FALSE),"")</f>
        <v/>
      </c>
      <c r="F249" s="25" t="str">
        <f>IFERROR(VLOOKUP($B249,テーブル12[],3,FALSE),"")</f>
        <v/>
      </c>
      <c r="G249" s="31" t="str">
        <f>IFERROR(VLOOKUP($B249,テーブル12[],4,FALSE),"")</f>
        <v/>
      </c>
      <c r="H249" s="25" t="str">
        <f t="shared" si="6"/>
        <v/>
      </c>
      <c r="I249" s="31" t="str">
        <f t="shared" si="7"/>
        <v/>
      </c>
    </row>
    <row r="250" spans="4:9">
      <c r="D250" s="27" t="str">
        <f>IFERROR(VLOOKUP(A250,テーブル11[],2,FALSE),"")</f>
        <v/>
      </c>
      <c r="E250" s="25" t="str">
        <f>IFERROR(VLOOKUP($B250,テーブル12[],2,FALSE),"")</f>
        <v/>
      </c>
      <c r="F250" s="25" t="str">
        <f>IFERROR(VLOOKUP($B250,テーブル12[],3,FALSE),"")</f>
        <v/>
      </c>
      <c r="G250" s="31" t="str">
        <f>IFERROR(VLOOKUP($B250,テーブル12[],4,FALSE),"")</f>
        <v/>
      </c>
      <c r="H250" s="25" t="str">
        <f t="shared" si="6"/>
        <v/>
      </c>
      <c r="I250" s="31" t="str">
        <f t="shared" si="7"/>
        <v/>
      </c>
    </row>
    <row r="251" spans="4:9">
      <c r="D251" s="27" t="str">
        <f>IFERROR(VLOOKUP(A251,テーブル11[],2,FALSE),"")</f>
        <v/>
      </c>
      <c r="E251" s="25" t="str">
        <f>IFERROR(VLOOKUP($B251,テーブル12[],2,FALSE),"")</f>
        <v/>
      </c>
      <c r="F251" s="25" t="str">
        <f>IFERROR(VLOOKUP($B251,テーブル12[],3,FALSE),"")</f>
        <v/>
      </c>
      <c r="G251" s="31" t="str">
        <f>IFERROR(VLOOKUP($B251,テーブル12[],4,FALSE),"")</f>
        <v/>
      </c>
      <c r="H251" s="25" t="str">
        <f t="shared" si="6"/>
        <v/>
      </c>
      <c r="I251" s="31" t="str">
        <f t="shared" si="7"/>
        <v/>
      </c>
    </row>
    <row r="252" spans="4:9">
      <c r="D252" s="27" t="str">
        <f>IFERROR(VLOOKUP(A252,テーブル11[],2,FALSE),"")</f>
        <v/>
      </c>
      <c r="E252" s="25" t="str">
        <f>IFERROR(VLOOKUP($B252,テーブル12[],2,FALSE),"")</f>
        <v/>
      </c>
      <c r="F252" s="25" t="str">
        <f>IFERROR(VLOOKUP($B252,テーブル12[],3,FALSE),"")</f>
        <v/>
      </c>
      <c r="G252" s="31" t="str">
        <f>IFERROR(VLOOKUP($B252,テーブル12[],4,FALSE),"")</f>
        <v/>
      </c>
      <c r="H252" s="25" t="str">
        <f t="shared" si="6"/>
        <v/>
      </c>
      <c r="I252" s="31" t="str">
        <f t="shared" si="7"/>
        <v/>
      </c>
    </row>
    <row r="253" spans="4:9">
      <c r="D253" s="27" t="str">
        <f>IFERROR(VLOOKUP(A253,テーブル11[],2,FALSE),"")</f>
        <v/>
      </c>
      <c r="E253" s="25" t="str">
        <f>IFERROR(VLOOKUP($B253,テーブル12[],2,FALSE),"")</f>
        <v/>
      </c>
      <c r="F253" s="25" t="str">
        <f>IFERROR(VLOOKUP($B253,テーブル12[],3,FALSE),"")</f>
        <v/>
      </c>
      <c r="G253" s="31" t="str">
        <f>IFERROR(VLOOKUP($B253,テーブル12[],4,FALSE),"")</f>
        <v/>
      </c>
      <c r="H253" s="25" t="str">
        <f t="shared" si="6"/>
        <v/>
      </c>
      <c r="I253" s="31" t="str">
        <f t="shared" si="7"/>
        <v/>
      </c>
    </row>
    <row r="254" spans="4:9">
      <c r="D254" s="27" t="str">
        <f>IFERROR(VLOOKUP(A254,テーブル11[],2,FALSE),"")</f>
        <v/>
      </c>
      <c r="E254" s="25" t="str">
        <f>IFERROR(VLOOKUP($B254,テーブル12[],2,FALSE),"")</f>
        <v/>
      </c>
      <c r="F254" s="25" t="str">
        <f>IFERROR(VLOOKUP($B254,テーブル12[],3,FALSE),"")</f>
        <v/>
      </c>
      <c r="G254" s="31" t="str">
        <f>IFERROR(VLOOKUP($B254,テーブル12[],4,FALSE),"")</f>
        <v/>
      </c>
      <c r="H254" s="25" t="str">
        <f t="shared" si="6"/>
        <v/>
      </c>
      <c r="I254" s="31" t="str">
        <f t="shared" si="7"/>
        <v/>
      </c>
    </row>
    <row r="255" spans="4:9">
      <c r="D255" s="27" t="str">
        <f>IFERROR(VLOOKUP(A255,テーブル11[],2,FALSE),"")</f>
        <v/>
      </c>
      <c r="E255" s="25" t="str">
        <f>IFERROR(VLOOKUP($B255,テーブル12[],2,FALSE),"")</f>
        <v/>
      </c>
      <c r="F255" s="25" t="str">
        <f>IFERROR(VLOOKUP($B255,テーブル12[],3,FALSE),"")</f>
        <v/>
      </c>
      <c r="G255" s="31" t="str">
        <f>IFERROR(VLOOKUP($B255,テーブル12[],4,FALSE),"")</f>
        <v/>
      </c>
      <c r="H255" s="25" t="str">
        <f t="shared" si="6"/>
        <v/>
      </c>
      <c r="I255" s="31" t="str">
        <f t="shared" si="7"/>
        <v/>
      </c>
    </row>
    <row r="256" spans="4:9">
      <c r="D256" s="27" t="str">
        <f>IFERROR(VLOOKUP(A256,テーブル11[],2,FALSE),"")</f>
        <v/>
      </c>
      <c r="E256" s="25" t="str">
        <f>IFERROR(VLOOKUP($B256,テーブル12[],2,FALSE),"")</f>
        <v/>
      </c>
      <c r="F256" s="25" t="str">
        <f>IFERROR(VLOOKUP($B256,テーブル12[],3,FALSE),"")</f>
        <v/>
      </c>
      <c r="G256" s="31" t="str">
        <f>IFERROR(VLOOKUP($B256,テーブル12[],4,FALSE),"")</f>
        <v/>
      </c>
      <c r="H256" s="25" t="str">
        <f t="shared" si="6"/>
        <v/>
      </c>
      <c r="I256" s="31" t="str">
        <f t="shared" si="7"/>
        <v/>
      </c>
    </row>
    <row r="257" spans="4:9">
      <c r="D257" s="27" t="str">
        <f>IFERROR(VLOOKUP(A257,テーブル11[],2,FALSE),"")</f>
        <v/>
      </c>
      <c r="E257" s="25" t="str">
        <f>IFERROR(VLOOKUP($B257,テーブル12[],2,FALSE),"")</f>
        <v/>
      </c>
      <c r="F257" s="25" t="str">
        <f>IFERROR(VLOOKUP($B257,テーブル12[],3,FALSE),"")</f>
        <v/>
      </c>
      <c r="G257" s="31" t="str">
        <f>IFERROR(VLOOKUP($B257,テーブル12[],4,FALSE),"")</f>
        <v/>
      </c>
      <c r="H257" s="25" t="str">
        <f t="shared" si="6"/>
        <v/>
      </c>
      <c r="I257" s="31" t="str">
        <f t="shared" si="7"/>
        <v/>
      </c>
    </row>
    <row r="258" spans="4:9">
      <c r="D258" s="27" t="str">
        <f>IFERROR(VLOOKUP(A258,テーブル11[],2,FALSE),"")</f>
        <v/>
      </c>
      <c r="E258" s="25" t="str">
        <f>IFERROR(VLOOKUP($B258,テーブル12[],2,FALSE),"")</f>
        <v/>
      </c>
      <c r="F258" s="25" t="str">
        <f>IFERROR(VLOOKUP($B258,テーブル12[],3,FALSE),"")</f>
        <v/>
      </c>
      <c r="G258" s="31" t="str">
        <f>IFERROR(VLOOKUP($B258,テーブル12[],4,FALSE),"")</f>
        <v/>
      </c>
      <c r="H258" s="25" t="str">
        <f t="shared" ref="H258:H321" si="8">IF(C258=0,"",C258)</f>
        <v/>
      </c>
      <c r="I258" s="31" t="str">
        <f t="shared" ref="I258:I321" si="9">IF(C258=0,"",G258*C258)</f>
        <v/>
      </c>
    </row>
    <row r="259" spans="4:9">
      <c r="D259" s="27" t="str">
        <f>IFERROR(VLOOKUP(A259,テーブル11[],2,FALSE),"")</f>
        <v/>
      </c>
      <c r="E259" s="25" t="str">
        <f>IFERROR(VLOOKUP($B259,テーブル12[],2,FALSE),"")</f>
        <v/>
      </c>
      <c r="F259" s="25" t="str">
        <f>IFERROR(VLOOKUP($B259,テーブル12[],3,FALSE),"")</f>
        <v/>
      </c>
      <c r="G259" s="31" t="str">
        <f>IFERROR(VLOOKUP($B259,テーブル12[],4,FALSE),"")</f>
        <v/>
      </c>
      <c r="H259" s="25" t="str">
        <f t="shared" si="8"/>
        <v/>
      </c>
      <c r="I259" s="31" t="str">
        <f t="shared" si="9"/>
        <v/>
      </c>
    </row>
    <row r="260" spans="4:9">
      <c r="D260" s="27" t="str">
        <f>IFERROR(VLOOKUP(A260,テーブル11[],2,FALSE),"")</f>
        <v/>
      </c>
      <c r="E260" s="25" t="str">
        <f>IFERROR(VLOOKUP($B260,テーブル12[],2,FALSE),"")</f>
        <v/>
      </c>
      <c r="F260" s="25" t="str">
        <f>IFERROR(VLOOKUP($B260,テーブル12[],3,FALSE),"")</f>
        <v/>
      </c>
      <c r="G260" s="31" t="str">
        <f>IFERROR(VLOOKUP($B260,テーブル12[],4,FALSE),"")</f>
        <v/>
      </c>
      <c r="H260" s="25" t="str">
        <f t="shared" si="8"/>
        <v/>
      </c>
      <c r="I260" s="31" t="str">
        <f t="shared" si="9"/>
        <v/>
      </c>
    </row>
    <row r="261" spans="4:9">
      <c r="D261" s="27" t="str">
        <f>IFERROR(VLOOKUP(A261,テーブル11[],2,FALSE),"")</f>
        <v/>
      </c>
      <c r="E261" s="25" t="str">
        <f>IFERROR(VLOOKUP($B261,テーブル12[],2,FALSE),"")</f>
        <v/>
      </c>
      <c r="F261" s="25" t="str">
        <f>IFERROR(VLOOKUP($B261,テーブル12[],3,FALSE),"")</f>
        <v/>
      </c>
      <c r="G261" s="31" t="str">
        <f>IFERROR(VLOOKUP($B261,テーブル12[],4,FALSE),"")</f>
        <v/>
      </c>
      <c r="H261" s="25" t="str">
        <f t="shared" si="8"/>
        <v/>
      </c>
      <c r="I261" s="31" t="str">
        <f t="shared" si="9"/>
        <v/>
      </c>
    </row>
    <row r="262" spans="4:9">
      <c r="D262" s="27" t="str">
        <f>IFERROR(VLOOKUP(A262,テーブル11[],2,FALSE),"")</f>
        <v/>
      </c>
      <c r="E262" s="25" t="str">
        <f>IFERROR(VLOOKUP($B262,テーブル12[],2,FALSE),"")</f>
        <v/>
      </c>
      <c r="F262" s="25" t="str">
        <f>IFERROR(VLOOKUP($B262,テーブル12[],3,FALSE),"")</f>
        <v/>
      </c>
      <c r="G262" s="31" t="str">
        <f>IFERROR(VLOOKUP($B262,テーブル12[],4,FALSE),"")</f>
        <v/>
      </c>
      <c r="H262" s="25" t="str">
        <f t="shared" si="8"/>
        <v/>
      </c>
      <c r="I262" s="31" t="str">
        <f t="shared" si="9"/>
        <v/>
      </c>
    </row>
    <row r="263" spans="4:9">
      <c r="D263" s="27" t="str">
        <f>IFERROR(VLOOKUP(A263,テーブル11[],2,FALSE),"")</f>
        <v/>
      </c>
      <c r="E263" s="25" t="str">
        <f>IFERROR(VLOOKUP($B263,テーブル12[],2,FALSE),"")</f>
        <v/>
      </c>
      <c r="F263" s="25" t="str">
        <f>IFERROR(VLOOKUP($B263,テーブル12[],3,FALSE),"")</f>
        <v/>
      </c>
      <c r="G263" s="31" t="str">
        <f>IFERROR(VLOOKUP($B263,テーブル12[],4,FALSE),"")</f>
        <v/>
      </c>
      <c r="H263" s="25" t="str">
        <f t="shared" si="8"/>
        <v/>
      </c>
      <c r="I263" s="31" t="str">
        <f t="shared" si="9"/>
        <v/>
      </c>
    </row>
    <row r="264" spans="4:9">
      <c r="D264" s="27" t="str">
        <f>IFERROR(VLOOKUP(A264,テーブル11[],2,FALSE),"")</f>
        <v/>
      </c>
      <c r="E264" s="25" t="str">
        <f>IFERROR(VLOOKUP($B264,テーブル12[],2,FALSE),"")</f>
        <v/>
      </c>
      <c r="F264" s="25" t="str">
        <f>IFERROR(VLOOKUP($B264,テーブル12[],3,FALSE),"")</f>
        <v/>
      </c>
      <c r="G264" s="31" t="str">
        <f>IFERROR(VLOOKUP($B264,テーブル12[],4,FALSE),"")</f>
        <v/>
      </c>
      <c r="H264" s="25" t="str">
        <f t="shared" si="8"/>
        <v/>
      </c>
      <c r="I264" s="31" t="str">
        <f t="shared" si="9"/>
        <v/>
      </c>
    </row>
    <row r="265" spans="4:9">
      <c r="D265" s="27" t="str">
        <f>IFERROR(VLOOKUP(A265,テーブル11[],2,FALSE),"")</f>
        <v/>
      </c>
      <c r="E265" s="25" t="str">
        <f>IFERROR(VLOOKUP($B265,テーブル12[],2,FALSE),"")</f>
        <v/>
      </c>
      <c r="F265" s="25" t="str">
        <f>IFERROR(VLOOKUP($B265,テーブル12[],3,FALSE),"")</f>
        <v/>
      </c>
      <c r="G265" s="31" t="str">
        <f>IFERROR(VLOOKUP($B265,テーブル12[],4,FALSE),"")</f>
        <v/>
      </c>
      <c r="H265" s="25" t="str">
        <f t="shared" si="8"/>
        <v/>
      </c>
      <c r="I265" s="31" t="str">
        <f t="shared" si="9"/>
        <v/>
      </c>
    </row>
    <row r="266" spans="4:9">
      <c r="D266" s="27" t="str">
        <f>IFERROR(VLOOKUP(A266,テーブル11[],2,FALSE),"")</f>
        <v/>
      </c>
      <c r="E266" s="25" t="str">
        <f>IFERROR(VLOOKUP($B266,テーブル12[],2,FALSE),"")</f>
        <v/>
      </c>
      <c r="F266" s="25" t="str">
        <f>IFERROR(VLOOKUP($B266,テーブル12[],3,FALSE),"")</f>
        <v/>
      </c>
      <c r="G266" s="31" t="str">
        <f>IFERROR(VLOOKUP($B266,テーブル12[],4,FALSE),"")</f>
        <v/>
      </c>
      <c r="H266" s="25" t="str">
        <f t="shared" si="8"/>
        <v/>
      </c>
      <c r="I266" s="31" t="str">
        <f t="shared" si="9"/>
        <v/>
      </c>
    </row>
    <row r="267" spans="4:9">
      <c r="D267" s="27" t="str">
        <f>IFERROR(VLOOKUP(A267,テーブル11[],2,FALSE),"")</f>
        <v/>
      </c>
      <c r="E267" s="25" t="str">
        <f>IFERROR(VLOOKUP($B267,テーブル12[],2,FALSE),"")</f>
        <v/>
      </c>
      <c r="F267" s="25" t="str">
        <f>IFERROR(VLOOKUP($B267,テーブル12[],3,FALSE),"")</f>
        <v/>
      </c>
      <c r="G267" s="31" t="str">
        <f>IFERROR(VLOOKUP($B267,テーブル12[],4,FALSE),"")</f>
        <v/>
      </c>
      <c r="H267" s="25" t="str">
        <f t="shared" si="8"/>
        <v/>
      </c>
      <c r="I267" s="31" t="str">
        <f t="shared" si="9"/>
        <v/>
      </c>
    </row>
    <row r="268" spans="4:9">
      <c r="D268" s="27" t="str">
        <f>IFERROR(VLOOKUP(A268,テーブル11[],2,FALSE),"")</f>
        <v/>
      </c>
      <c r="E268" s="25" t="str">
        <f>IFERROR(VLOOKUP($B268,テーブル12[],2,FALSE),"")</f>
        <v/>
      </c>
      <c r="F268" s="25" t="str">
        <f>IFERROR(VLOOKUP($B268,テーブル12[],3,FALSE),"")</f>
        <v/>
      </c>
      <c r="G268" s="31" t="str">
        <f>IFERROR(VLOOKUP($B268,テーブル12[],4,FALSE),"")</f>
        <v/>
      </c>
      <c r="H268" s="25" t="str">
        <f t="shared" si="8"/>
        <v/>
      </c>
      <c r="I268" s="31" t="str">
        <f t="shared" si="9"/>
        <v/>
      </c>
    </row>
    <row r="269" spans="4:9">
      <c r="D269" s="27" t="str">
        <f>IFERROR(VLOOKUP(A269,テーブル11[],2,FALSE),"")</f>
        <v/>
      </c>
      <c r="E269" s="25" t="str">
        <f>IFERROR(VLOOKUP($B269,テーブル12[],2,FALSE),"")</f>
        <v/>
      </c>
      <c r="F269" s="25" t="str">
        <f>IFERROR(VLOOKUP($B269,テーブル12[],3,FALSE),"")</f>
        <v/>
      </c>
      <c r="G269" s="31" t="str">
        <f>IFERROR(VLOOKUP($B269,テーブル12[],4,FALSE),"")</f>
        <v/>
      </c>
      <c r="H269" s="25" t="str">
        <f t="shared" si="8"/>
        <v/>
      </c>
      <c r="I269" s="31" t="str">
        <f t="shared" si="9"/>
        <v/>
      </c>
    </row>
    <row r="270" spans="4:9">
      <c r="D270" s="27" t="str">
        <f>IFERROR(VLOOKUP(A270,テーブル11[],2,FALSE),"")</f>
        <v/>
      </c>
      <c r="E270" s="25" t="str">
        <f>IFERROR(VLOOKUP($B270,テーブル12[],2,FALSE),"")</f>
        <v/>
      </c>
      <c r="F270" s="25" t="str">
        <f>IFERROR(VLOOKUP($B270,テーブル12[],3,FALSE),"")</f>
        <v/>
      </c>
      <c r="G270" s="31" t="str">
        <f>IFERROR(VLOOKUP($B270,テーブル12[],4,FALSE),"")</f>
        <v/>
      </c>
      <c r="H270" s="25" t="str">
        <f t="shared" si="8"/>
        <v/>
      </c>
      <c r="I270" s="31" t="str">
        <f t="shared" si="9"/>
        <v/>
      </c>
    </row>
    <row r="271" spans="4:9">
      <c r="D271" s="27" t="str">
        <f>IFERROR(VLOOKUP(A271,テーブル11[],2,FALSE),"")</f>
        <v/>
      </c>
      <c r="E271" s="25" t="str">
        <f>IFERROR(VLOOKUP($B271,テーブル12[],2,FALSE),"")</f>
        <v/>
      </c>
      <c r="F271" s="25" t="str">
        <f>IFERROR(VLOOKUP($B271,テーブル12[],3,FALSE),"")</f>
        <v/>
      </c>
      <c r="G271" s="31" t="str">
        <f>IFERROR(VLOOKUP($B271,テーブル12[],4,FALSE),"")</f>
        <v/>
      </c>
      <c r="H271" s="25" t="str">
        <f t="shared" si="8"/>
        <v/>
      </c>
      <c r="I271" s="31" t="str">
        <f t="shared" si="9"/>
        <v/>
      </c>
    </row>
    <row r="272" spans="4:9">
      <c r="D272" s="27" t="str">
        <f>IFERROR(VLOOKUP(A272,テーブル11[],2,FALSE),"")</f>
        <v/>
      </c>
      <c r="E272" s="25" t="str">
        <f>IFERROR(VLOOKUP($B272,テーブル12[],2,FALSE),"")</f>
        <v/>
      </c>
      <c r="F272" s="25" t="str">
        <f>IFERROR(VLOOKUP($B272,テーブル12[],3,FALSE),"")</f>
        <v/>
      </c>
      <c r="G272" s="31" t="str">
        <f>IFERROR(VLOOKUP($B272,テーブル12[],4,FALSE),"")</f>
        <v/>
      </c>
      <c r="H272" s="25" t="str">
        <f t="shared" si="8"/>
        <v/>
      </c>
      <c r="I272" s="31" t="str">
        <f t="shared" si="9"/>
        <v/>
      </c>
    </row>
    <row r="273" spans="4:9">
      <c r="D273" s="27" t="str">
        <f>IFERROR(VLOOKUP(A273,テーブル11[],2,FALSE),"")</f>
        <v/>
      </c>
      <c r="E273" s="25" t="str">
        <f>IFERROR(VLOOKUP($B273,テーブル12[],2,FALSE),"")</f>
        <v/>
      </c>
      <c r="F273" s="25" t="str">
        <f>IFERROR(VLOOKUP($B273,テーブル12[],3,FALSE),"")</f>
        <v/>
      </c>
      <c r="G273" s="31" t="str">
        <f>IFERROR(VLOOKUP($B273,テーブル12[],4,FALSE),"")</f>
        <v/>
      </c>
      <c r="H273" s="25" t="str">
        <f t="shared" si="8"/>
        <v/>
      </c>
      <c r="I273" s="31" t="str">
        <f t="shared" si="9"/>
        <v/>
      </c>
    </row>
    <row r="274" spans="4:9">
      <c r="D274" s="27" t="str">
        <f>IFERROR(VLOOKUP(A274,テーブル11[],2,FALSE),"")</f>
        <v/>
      </c>
      <c r="E274" s="25" t="str">
        <f>IFERROR(VLOOKUP($B274,テーブル12[],2,FALSE),"")</f>
        <v/>
      </c>
      <c r="F274" s="25" t="str">
        <f>IFERROR(VLOOKUP($B274,テーブル12[],3,FALSE),"")</f>
        <v/>
      </c>
      <c r="G274" s="31" t="str">
        <f>IFERROR(VLOOKUP($B274,テーブル12[],4,FALSE),"")</f>
        <v/>
      </c>
      <c r="H274" s="25" t="str">
        <f t="shared" si="8"/>
        <v/>
      </c>
      <c r="I274" s="31" t="str">
        <f t="shared" si="9"/>
        <v/>
      </c>
    </row>
    <row r="275" spans="4:9">
      <c r="D275" s="27" t="str">
        <f>IFERROR(VLOOKUP(A275,テーブル11[],2,FALSE),"")</f>
        <v/>
      </c>
      <c r="E275" s="25" t="str">
        <f>IFERROR(VLOOKUP($B275,テーブル12[],2,FALSE),"")</f>
        <v/>
      </c>
      <c r="F275" s="25" t="str">
        <f>IFERROR(VLOOKUP($B275,テーブル12[],3,FALSE),"")</f>
        <v/>
      </c>
      <c r="G275" s="31" t="str">
        <f>IFERROR(VLOOKUP($B275,テーブル12[],4,FALSE),"")</f>
        <v/>
      </c>
      <c r="H275" s="25" t="str">
        <f t="shared" si="8"/>
        <v/>
      </c>
      <c r="I275" s="31" t="str">
        <f t="shared" si="9"/>
        <v/>
      </c>
    </row>
    <row r="276" spans="4:9">
      <c r="D276" s="27" t="str">
        <f>IFERROR(VLOOKUP(A276,テーブル11[],2,FALSE),"")</f>
        <v/>
      </c>
      <c r="E276" s="25" t="str">
        <f>IFERROR(VLOOKUP($B276,テーブル12[],2,FALSE),"")</f>
        <v/>
      </c>
      <c r="F276" s="25" t="str">
        <f>IFERROR(VLOOKUP($B276,テーブル12[],3,FALSE),"")</f>
        <v/>
      </c>
      <c r="G276" s="31" t="str">
        <f>IFERROR(VLOOKUP($B276,テーブル12[],4,FALSE),"")</f>
        <v/>
      </c>
      <c r="H276" s="25" t="str">
        <f t="shared" si="8"/>
        <v/>
      </c>
      <c r="I276" s="31" t="str">
        <f t="shared" si="9"/>
        <v/>
      </c>
    </row>
    <row r="277" spans="4:9">
      <c r="D277" s="27" t="str">
        <f>IFERROR(VLOOKUP(A277,テーブル11[],2,FALSE),"")</f>
        <v/>
      </c>
      <c r="E277" s="25" t="str">
        <f>IFERROR(VLOOKUP($B277,テーブル12[],2,FALSE),"")</f>
        <v/>
      </c>
      <c r="F277" s="25" t="str">
        <f>IFERROR(VLOOKUP($B277,テーブル12[],3,FALSE),"")</f>
        <v/>
      </c>
      <c r="G277" s="31" t="str">
        <f>IFERROR(VLOOKUP($B277,テーブル12[],4,FALSE),"")</f>
        <v/>
      </c>
      <c r="H277" s="25" t="str">
        <f t="shared" si="8"/>
        <v/>
      </c>
      <c r="I277" s="31" t="str">
        <f t="shared" si="9"/>
        <v/>
      </c>
    </row>
    <row r="278" spans="4:9">
      <c r="D278" s="27" t="str">
        <f>IFERROR(VLOOKUP(A278,テーブル11[],2,FALSE),"")</f>
        <v/>
      </c>
      <c r="E278" s="25" t="str">
        <f>IFERROR(VLOOKUP($B278,テーブル12[],2,FALSE),"")</f>
        <v/>
      </c>
      <c r="F278" s="25" t="str">
        <f>IFERROR(VLOOKUP($B278,テーブル12[],3,FALSE),"")</f>
        <v/>
      </c>
      <c r="G278" s="31" t="str">
        <f>IFERROR(VLOOKUP($B278,テーブル12[],4,FALSE),"")</f>
        <v/>
      </c>
      <c r="H278" s="25" t="str">
        <f t="shared" si="8"/>
        <v/>
      </c>
      <c r="I278" s="31" t="str">
        <f t="shared" si="9"/>
        <v/>
      </c>
    </row>
    <row r="279" spans="4:9">
      <c r="D279" s="27" t="str">
        <f>IFERROR(VLOOKUP(A279,テーブル11[],2,FALSE),"")</f>
        <v/>
      </c>
      <c r="E279" s="25" t="str">
        <f>IFERROR(VLOOKUP($B279,テーブル12[],2,FALSE),"")</f>
        <v/>
      </c>
      <c r="F279" s="25" t="str">
        <f>IFERROR(VLOOKUP($B279,テーブル12[],3,FALSE),"")</f>
        <v/>
      </c>
      <c r="G279" s="31" t="str">
        <f>IFERROR(VLOOKUP($B279,テーブル12[],4,FALSE),"")</f>
        <v/>
      </c>
      <c r="H279" s="25" t="str">
        <f t="shared" si="8"/>
        <v/>
      </c>
      <c r="I279" s="31" t="str">
        <f t="shared" si="9"/>
        <v/>
      </c>
    </row>
    <row r="280" spans="4:9">
      <c r="D280" s="27" t="str">
        <f>IFERROR(VLOOKUP(A280,テーブル11[],2,FALSE),"")</f>
        <v/>
      </c>
      <c r="E280" s="25" t="str">
        <f>IFERROR(VLOOKUP($B280,テーブル12[],2,FALSE),"")</f>
        <v/>
      </c>
      <c r="F280" s="25" t="str">
        <f>IFERROR(VLOOKUP($B280,テーブル12[],3,FALSE),"")</f>
        <v/>
      </c>
      <c r="G280" s="31" t="str">
        <f>IFERROR(VLOOKUP($B280,テーブル12[],4,FALSE),"")</f>
        <v/>
      </c>
      <c r="H280" s="25" t="str">
        <f t="shared" si="8"/>
        <v/>
      </c>
      <c r="I280" s="31" t="str">
        <f t="shared" si="9"/>
        <v/>
      </c>
    </row>
    <row r="281" spans="4:9">
      <c r="D281" s="27" t="str">
        <f>IFERROR(VLOOKUP(A281,テーブル11[],2,FALSE),"")</f>
        <v/>
      </c>
      <c r="E281" s="25" t="str">
        <f>IFERROR(VLOOKUP($B281,テーブル12[],2,FALSE),"")</f>
        <v/>
      </c>
      <c r="F281" s="25" t="str">
        <f>IFERROR(VLOOKUP($B281,テーブル12[],3,FALSE),"")</f>
        <v/>
      </c>
      <c r="G281" s="31" t="str">
        <f>IFERROR(VLOOKUP($B281,テーブル12[],4,FALSE),"")</f>
        <v/>
      </c>
      <c r="H281" s="25" t="str">
        <f t="shared" si="8"/>
        <v/>
      </c>
      <c r="I281" s="31" t="str">
        <f t="shared" si="9"/>
        <v/>
      </c>
    </row>
    <row r="282" spans="4:9">
      <c r="D282" s="27" t="str">
        <f>IFERROR(VLOOKUP(A282,テーブル11[],2,FALSE),"")</f>
        <v/>
      </c>
      <c r="E282" s="25" t="str">
        <f>IFERROR(VLOOKUP($B282,テーブル12[],2,FALSE),"")</f>
        <v/>
      </c>
      <c r="F282" s="25" t="str">
        <f>IFERROR(VLOOKUP($B282,テーブル12[],3,FALSE),"")</f>
        <v/>
      </c>
      <c r="G282" s="31" t="str">
        <f>IFERROR(VLOOKUP($B282,テーブル12[],4,FALSE),"")</f>
        <v/>
      </c>
      <c r="H282" s="25" t="str">
        <f t="shared" si="8"/>
        <v/>
      </c>
      <c r="I282" s="31" t="str">
        <f t="shared" si="9"/>
        <v/>
      </c>
    </row>
    <row r="283" spans="4:9">
      <c r="D283" s="27" t="str">
        <f>IFERROR(VLOOKUP(A283,テーブル11[],2,FALSE),"")</f>
        <v/>
      </c>
      <c r="E283" s="25" t="str">
        <f>IFERROR(VLOOKUP($B283,テーブル12[],2,FALSE),"")</f>
        <v/>
      </c>
      <c r="F283" s="25" t="str">
        <f>IFERROR(VLOOKUP($B283,テーブル12[],3,FALSE),"")</f>
        <v/>
      </c>
      <c r="G283" s="31" t="str">
        <f>IFERROR(VLOOKUP($B283,テーブル12[],4,FALSE),"")</f>
        <v/>
      </c>
      <c r="H283" s="25" t="str">
        <f t="shared" si="8"/>
        <v/>
      </c>
      <c r="I283" s="31" t="str">
        <f t="shared" si="9"/>
        <v/>
      </c>
    </row>
    <row r="284" spans="4:9">
      <c r="D284" s="27" t="str">
        <f>IFERROR(VLOOKUP(A284,テーブル11[],2,FALSE),"")</f>
        <v/>
      </c>
      <c r="E284" s="25" t="str">
        <f>IFERROR(VLOOKUP($B284,テーブル12[],2,FALSE),"")</f>
        <v/>
      </c>
      <c r="F284" s="25" t="str">
        <f>IFERROR(VLOOKUP($B284,テーブル12[],3,FALSE),"")</f>
        <v/>
      </c>
      <c r="G284" s="31" t="str">
        <f>IFERROR(VLOOKUP($B284,テーブル12[],4,FALSE),"")</f>
        <v/>
      </c>
      <c r="H284" s="25" t="str">
        <f t="shared" si="8"/>
        <v/>
      </c>
      <c r="I284" s="31" t="str">
        <f t="shared" si="9"/>
        <v/>
      </c>
    </row>
    <row r="285" spans="4:9">
      <c r="D285" s="27" t="str">
        <f>IFERROR(VLOOKUP(A285,テーブル11[],2,FALSE),"")</f>
        <v/>
      </c>
      <c r="E285" s="25" t="str">
        <f>IFERROR(VLOOKUP($B285,テーブル12[],2,FALSE),"")</f>
        <v/>
      </c>
      <c r="F285" s="25" t="str">
        <f>IFERROR(VLOOKUP($B285,テーブル12[],3,FALSE),"")</f>
        <v/>
      </c>
      <c r="G285" s="31" t="str">
        <f>IFERROR(VLOOKUP($B285,テーブル12[],4,FALSE),"")</f>
        <v/>
      </c>
      <c r="H285" s="25" t="str">
        <f t="shared" si="8"/>
        <v/>
      </c>
      <c r="I285" s="31" t="str">
        <f t="shared" si="9"/>
        <v/>
      </c>
    </row>
    <row r="286" spans="4:9">
      <c r="D286" s="27" t="str">
        <f>IFERROR(VLOOKUP(A286,テーブル11[],2,FALSE),"")</f>
        <v/>
      </c>
      <c r="E286" s="25" t="str">
        <f>IFERROR(VLOOKUP($B286,テーブル12[],2,FALSE),"")</f>
        <v/>
      </c>
      <c r="F286" s="25" t="str">
        <f>IFERROR(VLOOKUP($B286,テーブル12[],3,FALSE),"")</f>
        <v/>
      </c>
      <c r="G286" s="31" t="str">
        <f>IFERROR(VLOOKUP($B286,テーブル12[],4,FALSE),"")</f>
        <v/>
      </c>
      <c r="H286" s="25" t="str">
        <f t="shared" si="8"/>
        <v/>
      </c>
      <c r="I286" s="31" t="str">
        <f t="shared" si="9"/>
        <v/>
      </c>
    </row>
    <row r="287" spans="4:9">
      <c r="D287" s="27" t="str">
        <f>IFERROR(VLOOKUP(A287,テーブル11[],2,FALSE),"")</f>
        <v/>
      </c>
      <c r="E287" s="25" t="str">
        <f>IFERROR(VLOOKUP($B287,テーブル12[],2,FALSE),"")</f>
        <v/>
      </c>
      <c r="F287" s="25" t="str">
        <f>IFERROR(VLOOKUP($B287,テーブル12[],3,FALSE),"")</f>
        <v/>
      </c>
      <c r="G287" s="31" t="str">
        <f>IFERROR(VLOOKUP($B287,テーブル12[],4,FALSE),"")</f>
        <v/>
      </c>
      <c r="H287" s="25" t="str">
        <f t="shared" si="8"/>
        <v/>
      </c>
      <c r="I287" s="31" t="str">
        <f t="shared" si="9"/>
        <v/>
      </c>
    </row>
    <row r="288" spans="4:9">
      <c r="D288" s="27" t="str">
        <f>IFERROR(VLOOKUP(A288,テーブル11[],2,FALSE),"")</f>
        <v/>
      </c>
      <c r="E288" s="25" t="str">
        <f>IFERROR(VLOOKUP($B288,テーブル12[],2,FALSE),"")</f>
        <v/>
      </c>
      <c r="F288" s="25" t="str">
        <f>IFERROR(VLOOKUP($B288,テーブル12[],3,FALSE),"")</f>
        <v/>
      </c>
      <c r="G288" s="31" t="str">
        <f>IFERROR(VLOOKUP($B288,テーブル12[],4,FALSE),"")</f>
        <v/>
      </c>
      <c r="H288" s="25" t="str">
        <f t="shared" si="8"/>
        <v/>
      </c>
      <c r="I288" s="31" t="str">
        <f t="shared" si="9"/>
        <v/>
      </c>
    </row>
    <row r="289" spans="4:9">
      <c r="D289" s="27" t="str">
        <f>IFERROR(VLOOKUP(A289,テーブル11[],2,FALSE),"")</f>
        <v/>
      </c>
      <c r="E289" s="25" t="str">
        <f>IFERROR(VLOOKUP($B289,テーブル12[],2,FALSE),"")</f>
        <v/>
      </c>
      <c r="F289" s="25" t="str">
        <f>IFERROR(VLOOKUP($B289,テーブル12[],3,FALSE),"")</f>
        <v/>
      </c>
      <c r="G289" s="31" t="str">
        <f>IFERROR(VLOOKUP($B289,テーブル12[],4,FALSE),"")</f>
        <v/>
      </c>
      <c r="H289" s="25" t="str">
        <f t="shared" si="8"/>
        <v/>
      </c>
      <c r="I289" s="31" t="str">
        <f t="shared" si="9"/>
        <v/>
      </c>
    </row>
    <row r="290" spans="4:9">
      <c r="D290" s="27" t="str">
        <f>IFERROR(VLOOKUP(A290,テーブル11[],2,FALSE),"")</f>
        <v/>
      </c>
      <c r="E290" s="25" t="str">
        <f>IFERROR(VLOOKUP($B290,テーブル12[],2,FALSE),"")</f>
        <v/>
      </c>
      <c r="F290" s="25" t="str">
        <f>IFERROR(VLOOKUP($B290,テーブル12[],3,FALSE),"")</f>
        <v/>
      </c>
      <c r="G290" s="31" t="str">
        <f>IFERROR(VLOOKUP($B290,テーブル12[],4,FALSE),"")</f>
        <v/>
      </c>
      <c r="H290" s="25" t="str">
        <f t="shared" si="8"/>
        <v/>
      </c>
      <c r="I290" s="31" t="str">
        <f t="shared" si="9"/>
        <v/>
      </c>
    </row>
    <row r="291" spans="4:9">
      <c r="D291" s="27" t="str">
        <f>IFERROR(VLOOKUP(A291,テーブル11[],2,FALSE),"")</f>
        <v/>
      </c>
      <c r="E291" s="25" t="str">
        <f>IFERROR(VLOOKUP($B291,テーブル12[],2,FALSE),"")</f>
        <v/>
      </c>
      <c r="F291" s="25" t="str">
        <f>IFERROR(VLOOKUP($B291,テーブル12[],3,FALSE),"")</f>
        <v/>
      </c>
      <c r="G291" s="31" t="str">
        <f>IFERROR(VLOOKUP($B291,テーブル12[],4,FALSE),"")</f>
        <v/>
      </c>
      <c r="H291" s="25" t="str">
        <f t="shared" si="8"/>
        <v/>
      </c>
      <c r="I291" s="31" t="str">
        <f t="shared" si="9"/>
        <v/>
      </c>
    </row>
    <row r="292" spans="4:9">
      <c r="D292" s="27" t="str">
        <f>IFERROR(VLOOKUP(A292,テーブル11[],2,FALSE),"")</f>
        <v/>
      </c>
      <c r="E292" s="25" t="str">
        <f>IFERROR(VLOOKUP($B292,テーブル12[],2,FALSE),"")</f>
        <v/>
      </c>
      <c r="F292" s="25" t="str">
        <f>IFERROR(VLOOKUP($B292,テーブル12[],3,FALSE),"")</f>
        <v/>
      </c>
      <c r="G292" s="31" t="str">
        <f>IFERROR(VLOOKUP($B292,テーブル12[],4,FALSE),"")</f>
        <v/>
      </c>
      <c r="H292" s="25" t="str">
        <f t="shared" si="8"/>
        <v/>
      </c>
      <c r="I292" s="31" t="str">
        <f t="shared" si="9"/>
        <v/>
      </c>
    </row>
    <row r="293" spans="4:9">
      <c r="D293" s="27" t="str">
        <f>IFERROR(VLOOKUP(A293,テーブル11[],2,FALSE),"")</f>
        <v/>
      </c>
      <c r="E293" s="25" t="str">
        <f>IFERROR(VLOOKUP($B293,テーブル12[],2,FALSE),"")</f>
        <v/>
      </c>
      <c r="F293" s="25" t="str">
        <f>IFERROR(VLOOKUP($B293,テーブル12[],3,FALSE),"")</f>
        <v/>
      </c>
      <c r="G293" s="31" t="str">
        <f>IFERROR(VLOOKUP($B293,テーブル12[],4,FALSE),"")</f>
        <v/>
      </c>
      <c r="H293" s="25" t="str">
        <f t="shared" si="8"/>
        <v/>
      </c>
      <c r="I293" s="31" t="str">
        <f t="shared" si="9"/>
        <v/>
      </c>
    </row>
    <row r="294" spans="4:9">
      <c r="D294" s="27" t="str">
        <f>IFERROR(VLOOKUP(A294,テーブル11[],2,FALSE),"")</f>
        <v/>
      </c>
      <c r="E294" s="25" t="str">
        <f>IFERROR(VLOOKUP($B294,テーブル12[],2,FALSE),"")</f>
        <v/>
      </c>
      <c r="F294" s="25" t="str">
        <f>IFERROR(VLOOKUP($B294,テーブル12[],3,FALSE),"")</f>
        <v/>
      </c>
      <c r="G294" s="31" t="str">
        <f>IFERROR(VLOOKUP($B294,テーブル12[],4,FALSE),"")</f>
        <v/>
      </c>
      <c r="H294" s="25" t="str">
        <f t="shared" si="8"/>
        <v/>
      </c>
      <c r="I294" s="31" t="str">
        <f t="shared" si="9"/>
        <v/>
      </c>
    </row>
    <row r="295" spans="4:9">
      <c r="D295" s="27" t="str">
        <f>IFERROR(VLOOKUP(A295,テーブル11[],2,FALSE),"")</f>
        <v/>
      </c>
      <c r="E295" s="25" t="str">
        <f>IFERROR(VLOOKUP($B295,テーブル12[],2,FALSE),"")</f>
        <v/>
      </c>
      <c r="F295" s="25" t="str">
        <f>IFERROR(VLOOKUP($B295,テーブル12[],3,FALSE),"")</f>
        <v/>
      </c>
      <c r="G295" s="31" t="str">
        <f>IFERROR(VLOOKUP($B295,テーブル12[],4,FALSE),"")</f>
        <v/>
      </c>
      <c r="H295" s="25" t="str">
        <f t="shared" si="8"/>
        <v/>
      </c>
      <c r="I295" s="31" t="str">
        <f t="shared" si="9"/>
        <v/>
      </c>
    </row>
    <row r="296" spans="4:9">
      <c r="D296" s="27" t="str">
        <f>IFERROR(VLOOKUP(A296,テーブル11[],2,FALSE),"")</f>
        <v/>
      </c>
      <c r="E296" s="25" t="str">
        <f>IFERROR(VLOOKUP($B296,テーブル12[],2,FALSE),"")</f>
        <v/>
      </c>
      <c r="F296" s="25" t="str">
        <f>IFERROR(VLOOKUP($B296,テーブル12[],3,FALSE),"")</f>
        <v/>
      </c>
      <c r="G296" s="31" t="str">
        <f>IFERROR(VLOOKUP($B296,テーブル12[],4,FALSE),"")</f>
        <v/>
      </c>
      <c r="H296" s="25" t="str">
        <f t="shared" si="8"/>
        <v/>
      </c>
      <c r="I296" s="31" t="str">
        <f t="shared" si="9"/>
        <v/>
      </c>
    </row>
    <row r="297" spans="4:9">
      <c r="D297" s="27" t="str">
        <f>IFERROR(VLOOKUP(A297,テーブル11[],2,FALSE),"")</f>
        <v/>
      </c>
      <c r="E297" s="25" t="str">
        <f>IFERROR(VLOOKUP($B297,テーブル12[],2,FALSE),"")</f>
        <v/>
      </c>
      <c r="F297" s="25" t="str">
        <f>IFERROR(VLOOKUP($B297,テーブル12[],3,FALSE),"")</f>
        <v/>
      </c>
      <c r="G297" s="31" t="str">
        <f>IFERROR(VLOOKUP($B297,テーブル12[],4,FALSE),"")</f>
        <v/>
      </c>
      <c r="H297" s="25" t="str">
        <f t="shared" si="8"/>
        <v/>
      </c>
      <c r="I297" s="31" t="str">
        <f t="shared" si="9"/>
        <v/>
      </c>
    </row>
    <row r="298" spans="4:9">
      <c r="D298" s="27" t="str">
        <f>IFERROR(VLOOKUP(A298,テーブル11[],2,FALSE),"")</f>
        <v/>
      </c>
      <c r="E298" s="25" t="str">
        <f>IFERROR(VLOOKUP($B298,テーブル12[],2,FALSE),"")</f>
        <v/>
      </c>
      <c r="F298" s="25" t="str">
        <f>IFERROR(VLOOKUP($B298,テーブル12[],3,FALSE),"")</f>
        <v/>
      </c>
      <c r="G298" s="31" t="str">
        <f>IFERROR(VLOOKUP($B298,テーブル12[],4,FALSE),"")</f>
        <v/>
      </c>
      <c r="H298" s="25" t="str">
        <f t="shared" si="8"/>
        <v/>
      </c>
      <c r="I298" s="31" t="str">
        <f t="shared" si="9"/>
        <v/>
      </c>
    </row>
    <row r="299" spans="4:9">
      <c r="D299" s="27" t="str">
        <f>IFERROR(VLOOKUP(A299,テーブル11[],2,FALSE),"")</f>
        <v/>
      </c>
      <c r="E299" s="25" t="str">
        <f>IFERROR(VLOOKUP($B299,テーブル12[],2,FALSE),"")</f>
        <v/>
      </c>
      <c r="F299" s="25" t="str">
        <f>IFERROR(VLOOKUP($B299,テーブル12[],3,FALSE),"")</f>
        <v/>
      </c>
      <c r="G299" s="31" t="str">
        <f>IFERROR(VLOOKUP($B299,テーブル12[],4,FALSE),"")</f>
        <v/>
      </c>
      <c r="H299" s="25" t="str">
        <f t="shared" si="8"/>
        <v/>
      </c>
      <c r="I299" s="31" t="str">
        <f t="shared" si="9"/>
        <v/>
      </c>
    </row>
    <row r="300" spans="4:9">
      <c r="D300" s="27" t="str">
        <f>IFERROR(VLOOKUP(A300,テーブル11[],2,FALSE),"")</f>
        <v/>
      </c>
      <c r="E300" s="25" t="str">
        <f>IFERROR(VLOOKUP($B300,テーブル12[],2,FALSE),"")</f>
        <v/>
      </c>
      <c r="F300" s="25" t="str">
        <f>IFERROR(VLOOKUP($B300,テーブル12[],3,FALSE),"")</f>
        <v/>
      </c>
      <c r="G300" s="31" t="str">
        <f>IFERROR(VLOOKUP($B300,テーブル12[],4,FALSE),"")</f>
        <v/>
      </c>
      <c r="H300" s="25" t="str">
        <f t="shared" si="8"/>
        <v/>
      </c>
      <c r="I300" s="31" t="str">
        <f t="shared" si="9"/>
        <v/>
      </c>
    </row>
    <row r="301" spans="4:9">
      <c r="D301" s="27" t="str">
        <f>IFERROR(VLOOKUP(A301,テーブル11[],2,FALSE),"")</f>
        <v/>
      </c>
      <c r="E301" s="25" t="str">
        <f>IFERROR(VLOOKUP($B301,テーブル12[],2,FALSE),"")</f>
        <v/>
      </c>
      <c r="F301" s="25" t="str">
        <f>IFERROR(VLOOKUP($B301,テーブル12[],3,FALSE),"")</f>
        <v/>
      </c>
      <c r="G301" s="31" t="str">
        <f>IFERROR(VLOOKUP($B301,テーブル12[],4,FALSE),"")</f>
        <v/>
      </c>
      <c r="H301" s="25" t="str">
        <f t="shared" si="8"/>
        <v/>
      </c>
      <c r="I301" s="31" t="str">
        <f t="shared" si="9"/>
        <v/>
      </c>
    </row>
    <row r="302" spans="4:9">
      <c r="D302" s="27" t="str">
        <f>IFERROR(VLOOKUP(A302,テーブル11[],2,FALSE),"")</f>
        <v/>
      </c>
      <c r="E302" s="25" t="str">
        <f>IFERROR(VLOOKUP($B302,テーブル12[],2,FALSE),"")</f>
        <v/>
      </c>
      <c r="F302" s="25" t="str">
        <f>IFERROR(VLOOKUP($B302,テーブル12[],3,FALSE),"")</f>
        <v/>
      </c>
      <c r="G302" s="31" t="str">
        <f>IFERROR(VLOOKUP($B302,テーブル12[],4,FALSE),"")</f>
        <v/>
      </c>
      <c r="H302" s="25" t="str">
        <f t="shared" si="8"/>
        <v/>
      </c>
      <c r="I302" s="31" t="str">
        <f t="shared" si="9"/>
        <v/>
      </c>
    </row>
    <row r="303" spans="4:9">
      <c r="D303" s="27" t="str">
        <f>IFERROR(VLOOKUP(A303,テーブル11[],2,FALSE),"")</f>
        <v/>
      </c>
      <c r="E303" s="25" t="str">
        <f>IFERROR(VLOOKUP($B303,テーブル12[],2,FALSE),"")</f>
        <v/>
      </c>
      <c r="F303" s="25" t="str">
        <f>IFERROR(VLOOKUP($B303,テーブル12[],3,FALSE),"")</f>
        <v/>
      </c>
      <c r="G303" s="31" t="str">
        <f>IFERROR(VLOOKUP($B303,テーブル12[],4,FALSE),"")</f>
        <v/>
      </c>
      <c r="H303" s="25" t="str">
        <f t="shared" si="8"/>
        <v/>
      </c>
      <c r="I303" s="31" t="str">
        <f t="shared" si="9"/>
        <v/>
      </c>
    </row>
    <row r="304" spans="4:9">
      <c r="D304" s="27" t="str">
        <f>IFERROR(VLOOKUP(A304,テーブル11[],2,FALSE),"")</f>
        <v/>
      </c>
      <c r="E304" s="25" t="str">
        <f>IFERROR(VLOOKUP($B304,テーブル12[],2,FALSE),"")</f>
        <v/>
      </c>
      <c r="F304" s="25" t="str">
        <f>IFERROR(VLOOKUP($B304,テーブル12[],3,FALSE),"")</f>
        <v/>
      </c>
      <c r="G304" s="31" t="str">
        <f>IFERROR(VLOOKUP($B304,テーブル12[],4,FALSE),"")</f>
        <v/>
      </c>
      <c r="H304" s="25" t="str">
        <f t="shared" si="8"/>
        <v/>
      </c>
      <c r="I304" s="31" t="str">
        <f t="shared" si="9"/>
        <v/>
      </c>
    </row>
    <row r="305" spans="4:9">
      <c r="D305" s="27" t="str">
        <f>IFERROR(VLOOKUP(A305,テーブル11[],2,FALSE),"")</f>
        <v/>
      </c>
      <c r="E305" s="25" t="str">
        <f>IFERROR(VLOOKUP($B305,テーブル12[],2,FALSE),"")</f>
        <v/>
      </c>
      <c r="F305" s="25" t="str">
        <f>IFERROR(VLOOKUP($B305,テーブル12[],3,FALSE),"")</f>
        <v/>
      </c>
      <c r="G305" s="31" t="str">
        <f>IFERROR(VLOOKUP($B305,テーブル12[],4,FALSE),"")</f>
        <v/>
      </c>
      <c r="H305" s="25" t="str">
        <f t="shared" si="8"/>
        <v/>
      </c>
      <c r="I305" s="31" t="str">
        <f t="shared" si="9"/>
        <v/>
      </c>
    </row>
    <row r="306" spans="4:9">
      <c r="D306" s="27" t="str">
        <f>IFERROR(VLOOKUP(A306,テーブル11[],2,FALSE),"")</f>
        <v/>
      </c>
      <c r="E306" s="25" t="str">
        <f>IFERROR(VLOOKUP($B306,テーブル12[],2,FALSE),"")</f>
        <v/>
      </c>
      <c r="F306" s="25" t="str">
        <f>IFERROR(VLOOKUP($B306,テーブル12[],3,FALSE),"")</f>
        <v/>
      </c>
      <c r="G306" s="31" t="str">
        <f>IFERROR(VLOOKUP($B306,テーブル12[],4,FALSE),"")</f>
        <v/>
      </c>
      <c r="H306" s="25" t="str">
        <f t="shared" si="8"/>
        <v/>
      </c>
      <c r="I306" s="31" t="str">
        <f t="shared" si="9"/>
        <v/>
      </c>
    </row>
    <row r="307" spans="4:9">
      <c r="D307" s="27" t="str">
        <f>IFERROR(VLOOKUP(A307,テーブル11[],2,FALSE),"")</f>
        <v/>
      </c>
      <c r="E307" s="25" t="str">
        <f>IFERROR(VLOOKUP($B307,テーブル12[],2,FALSE),"")</f>
        <v/>
      </c>
      <c r="F307" s="25" t="str">
        <f>IFERROR(VLOOKUP($B307,テーブル12[],3,FALSE),"")</f>
        <v/>
      </c>
      <c r="G307" s="31" t="str">
        <f>IFERROR(VLOOKUP($B307,テーブル12[],4,FALSE),"")</f>
        <v/>
      </c>
      <c r="H307" s="25" t="str">
        <f t="shared" si="8"/>
        <v/>
      </c>
      <c r="I307" s="31" t="str">
        <f t="shared" si="9"/>
        <v/>
      </c>
    </row>
    <row r="308" spans="4:9">
      <c r="D308" s="27" t="str">
        <f>IFERROR(VLOOKUP(A308,テーブル11[],2,FALSE),"")</f>
        <v/>
      </c>
      <c r="E308" s="25" t="str">
        <f>IFERROR(VLOOKUP($B308,テーブル12[],2,FALSE),"")</f>
        <v/>
      </c>
      <c r="F308" s="25" t="str">
        <f>IFERROR(VLOOKUP($B308,テーブル12[],3,FALSE),"")</f>
        <v/>
      </c>
      <c r="G308" s="31" t="str">
        <f>IFERROR(VLOOKUP($B308,テーブル12[],4,FALSE),"")</f>
        <v/>
      </c>
      <c r="H308" s="25" t="str">
        <f t="shared" si="8"/>
        <v/>
      </c>
      <c r="I308" s="31" t="str">
        <f t="shared" si="9"/>
        <v/>
      </c>
    </row>
    <row r="309" spans="4:9">
      <c r="D309" s="27" t="str">
        <f>IFERROR(VLOOKUP(A309,テーブル11[],2,FALSE),"")</f>
        <v/>
      </c>
      <c r="E309" s="25" t="str">
        <f>IFERROR(VLOOKUP($B309,テーブル12[],2,FALSE),"")</f>
        <v/>
      </c>
      <c r="F309" s="25" t="str">
        <f>IFERROR(VLOOKUP($B309,テーブル12[],3,FALSE),"")</f>
        <v/>
      </c>
      <c r="G309" s="31" t="str">
        <f>IFERROR(VLOOKUP($B309,テーブル12[],4,FALSE),"")</f>
        <v/>
      </c>
      <c r="H309" s="25" t="str">
        <f t="shared" si="8"/>
        <v/>
      </c>
      <c r="I309" s="31" t="str">
        <f t="shared" si="9"/>
        <v/>
      </c>
    </row>
    <row r="310" spans="4:9">
      <c r="D310" s="27" t="str">
        <f>IFERROR(VLOOKUP(A310,テーブル11[],2,FALSE),"")</f>
        <v/>
      </c>
      <c r="E310" s="25" t="str">
        <f>IFERROR(VLOOKUP($B310,テーブル12[],2,FALSE),"")</f>
        <v/>
      </c>
      <c r="F310" s="25" t="str">
        <f>IFERROR(VLOOKUP($B310,テーブル12[],3,FALSE),"")</f>
        <v/>
      </c>
      <c r="G310" s="31" t="str">
        <f>IFERROR(VLOOKUP($B310,テーブル12[],4,FALSE),"")</f>
        <v/>
      </c>
      <c r="H310" s="25" t="str">
        <f t="shared" si="8"/>
        <v/>
      </c>
      <c r="I310" s="31" t="str">
        <f t="shared" si="9"/>
        <v/>
      </c>
    </row>
    <row r="311" spans="4:9">
      <c r="D311" s="27" t="str">
        <f>IFERROR(VLOOKUP(A311,テーブル11[],2,FALSE),"")</f>
        <v/>
      </c>
      <c r="E311" s="25" t="str">
        <f>IFERROR(VLOOKUP($B311,テーブル12[],2,FALSE),"")</f>
        <v/>
      </c>
      <c r="F311" s="25" t="str">
        <f>IFERROR(VLOOKUP($B311,テーブル12[],3,FALSE),"")</f>
        <v/>
      </c>
      <c r="G311" s="31" t="str">
        <f>IFERROR(VLOOKUP($B311,テーブル12[],4,FALSE),"")</f>
        <v/>
      </c>
      <c r="H311" s="25" t="str">
        <f t="shared" si="8"/>
        <v/>
      </c>
      <c r="I311" s="31" t="str">
        <f t="shared" si="9"/>
        <v/>
      </c>
    </row>
    <row r="312" spans="4:9">
      <c r="D312" s="27" t="str">
        <f>IFERROR(VLOOKUP(A312,テーブル11[],2,FALSE),"")</f>
        <v/>
      </c>
      <c r="E312" s="25" t="str">
        <f>IFERROR(VLOOKUP($B312,テーブル12[],2,FALSE),"")</f>
        <v/>
      </c>
      <c r="F312" s="25" t="str">
        <f>IFERROR(VLOOKUP($B312,テーブル12[],3,FALSE),"")</f>
        <v/>
      </c>
      <c r="G312" s="31" t="str">
        <f>IFERROR(VLOOKUP($B312,テーブル12[],4,FALSE),"")</f>
        <v/>
      </c>
      <c r="H312" s="25" t="str">
        <f t="shared" si="8"/>
        <v/>
      </c>
      <c r="I312" s="31" t="str">
        <f t="shared" si="9"/>
        <v/>
      </c>
    </row>
    <row r="313" spans="4:9">
      <c r="D313" s="27" t="str">
        <f>IFERROR(VLOOKUP(A313,テーブル11[],2,FALSE),"")</f>
        <v/>
      </c>
      <c r="E313" s="25" t="str">
        <f>IFERROR(VLOOKUP($B313,テーブル12[],2,FALSE),"")</f>
        <v/>
      </c>
      <c r="F313" s="25" t="str">
        <f>IFERROR(VLOOKUP($B313,テーブル12[],3,FALSE),"")</f>
        <v/>
      </c>
      <c r="G313" s="31" t="str">
        <f>IFERROR(VLOOKUP($B313,テーブル12[],4,FALSE),"")</f>
        <v/>
      </c>
      <c r="H313" s="25" t="str">
        <f t="shared" si="8"/>
        <v/>
      </c>
      <c r="I313" s="31" t="str">
        <f t="shared" si="9"/>
        <v/>
      </c>
    </row>
    <row r="314" spans="4:9">
      <c r="D314" s="27" t="str">
        <f>IFERROR(VLOOKUP(A314,テーブル11[],2,FALSE),"")</f>
        <v/>
      </c>
      <c r="E314" s="25" t="str">
        <f>IFERROR(VLOOKUP($B314,テーブル12[],2,FALSE),"")</f>
        <v/>
      </c>
      <c r="F314" s="25" t="str">
        <f>IFERROR(VLOOKUP($B314,テーブル12[],3,FALSE),"")</f>
        <v/>
      </c>
      <c r="G314" s="31" t="str">
        <f>IFERROR(VLOOKUP($B314,テーブル12[],4,FALSE),"")</f>
        <v/>
      </c>
      <c r="H314" s="25" t="str">
        <f t="shared" si="8"/>
        <v/>
      </c>
      <c r="I314" s="31" t="str">
        <f t="shared" si="9"/>
        <v/>
      </c>
    </row>
    <row r="315" spans="4:9">
      <c r="D315" s="27" t="str">
        <f>IFERROR(VLOOKUP(A315,テーブル11[],2,FALSE),"")</f>
        <v/>
      </c>
      <c r="E315" s="25" t="str">
        <f>IFERROR(VLOOKUP($B315,テーブル12[],2,FALSE),"")</f>
        <v/>
      </c>
      <c r="F315" s="25" t="str">
        <f>IFERROR(VLOOKUP($B315,テーブル12[],3,FALSE),"")</f>
        <v/>
      </c>
      <c r="G315" s="31" t="str">
        <f>IFERROR(VLOOKUP($B315,テーブル12[],4,FALSE),"")</f>
        <v/>
      </c>
      <c r="H315" s="25" t="str">
        <f t="shared" si="8"/>
        <v/>
      </c>
      <c r="I315" s="31" t="str">
        <f t="shared" si="9"/>
        <v/>
      </c>
    </row>
    <row r="316" spans="4:9">
      <c r="D316" s="27" t="str">
        <f>IFERROR(VLOOKUP(A316,テーブル11[],2,FALSE),"")</f>
        <v/>
      </c>
      <c r="E316" s="25" t="str">
        <f>IFERROR(VLOOKUP($B316,テーブル12[],2,FALSE),"")</f>
        <v/>
      </c>
      <c r="F316" s="25" t="str">
        <f>IFERROR(VLOOKUP($B316,テーブル12[],3,FALSE),"")</f>
        <v/>
      </c>
      <c r="G316" s="31" t="str">
        <f>IFERROR(VLOOKUP($B316,テーブル12[],4,FALSE),"")</f>
        <v/>
      </c>
      <c r="H316" s="25" t="str">
        <f t="shared" si="8"/>
        <v/>
      </c>
      <c r="I316" s="31" t="str">
        <f t="shared" si="9"/>
        <v/>
      </c>
    </row>
    <row r="317" spans="4:9">
      <c r="D317" s="27" t="str">
        <f>IFERROR(VLOOKUP(A317,テーブル11[],2,FALSE),"")</f>
        <v/>
      </c>
      <c r="E317" s="25" t="str">
        <f>IFERROR(VLOOKUP($B317,テーブル12[],2,FALSE),"")</f>
        <v/>
      </c>
      <c r="F317" s="25" t="str">
        <f>IFERROR(VLOOKUP($B317,テーブル12[],3,FALSE),"")</f>
        <v/>
      </c>
      <c r="G317" s="31" t="str">
        <f>IFERROR(VLOOKUP($B317,テーブル12[],4,FALSE),"")</f>
        <v/>
      </c>
      <c r="H317" s="25" t="str">
        <f t="shared" si="8"/>
        <v/>
      </c>
      <c r="I317" s="31" t="str">
        <f t="shared" si="9"/>
        <v/>
      </c>
    </row>
    <row r="318" spans="4:9">
      <c r="D318" s="27" t="str">
        <f>IFERROR(VLOOKUP(A318,テーブル11[],2,FALSE),"")</f>
        <v/>
      </c>
      <c r="E318" s="25" t="str">
        <f>IFERROR(VLOOKUP($B318,テーブル12[],2,FALSE),"")</f>
        <v/>
      </c>
      <c r="F318" s="25" t="str">
        <f>IFERROR(VLOOKUP($B318,テーブル12[],3,FALSE),"")</f>
        <v/>
      </c>
      <c r="G318" s="31" t="str">
        <f>IFERROR(VLOOKUP($B318,テーブル12[],4,FALSE),"")</f>
        <v/>
      </c>
      <c r="H318" s="25" t="str">
        <f t="shared" si="8"/>
        <v/>
      </c>
      <c r="I318" s="31" t="str">
        <f t="shared" si="9"/>
        <v/>
      </c>
    </row>
    <row r="319" spans="4:9">
      <c r="D319" s="27" t="str">
        <f>IFERROR(VLOOKUP(A319,テーブル11[],2,FALSE),"")</f>
        <v/>
      </c>
      <c r="E319" s="25" t="str">
        <f>IFERROR(VLOOKUP($B319,テーブル12[],2,FALSE),"")</f>
        <v/>
      </c>
      <c r="F319" s="25" t="str">
        <f>IFERROR(VLOOKUP($B319,テーブル12[],3,FALSE),"")</f>
        <v/>
      </c>
      <c r="G319" s="31" t="str">
        <f>IFERROR(VLOOKUP($B319,テーブル12[],4,FALSE),"")</f>
        <v/>
      </c>
      <c r="H319" s="25" t="str">
        <f t="shared" si="8"/>
        <v/>
      </c>
      <c r="I319" s="31" t="str">
        <f t="shared" si="9"/>
        <v/>
      </c>
    </row>
    <row r="320" spans="4:9">
      <c r="D320" s="27" t="str">
        <f>IFERROR(VLOOKUP(A320,テーブル11[],2,FALSE),"")</f>
        <v/>
      </c>
      <c r="E320" s="25" t="str">
        <f>IFERROR(VLOOKUP($B320,テーブル12[],2,FALSE),"")</f>
        <v/>
      </c>
      <c r="F320" s="25" t="str">
        <f>IFERROR(VLOOKUP($B320,テーブル12[],3,FALSE),"")</f>
        <v/>
      </c>
      <c r="G320" s="31" t="str">
        <f>IFERROR(VLOOKUP($B320,テーブル12[],4,FALSE),"")</f>
        <v/>
      </c>
      <c r="H320" s="25" t="str">
        <f t="shared" si="8"/>
        <v/>
      </c>
      <c r="I320" s="31" t="str">
        <f t="shared" si="9"/>
        <v/>
      </c>
    </row>
    <row r="321" spans="4:9">
      <c r="D321" s="27" t="str">
        <f>IFERROR(VLOOKUP(A321,テーブル11[],2,FALSE),"")</f>
        <v/>
      </c>
      <c r="E321" s="25" t="str">
        <f>IFERROR(VLOOKUP($B321,テーブル12[],2,FALSE),"")</f>
        <v/>
      </c>
      <c r="F321" s="25" t="str">
        <f>IFERROR(VLOOKUP($B321,テーブル12[],3,FALSE),"")</f>
        <v/>
      </c>
      <c r="G321" s="31" t="str">
        <f>IFERROR(VLOOKUP($B321,テーブル12[],4,FALSE),"")</f>
        <v/>
      </c>
      <c r="H321" s="25" t="str">
        <f t="shared" si="8"/>
        <v/>
      </c>
      <c r="I321" s="31" t="str">
        <f t="shared" si="9"/>
        <v/>
      </c>
    </row>
    <row r="322" spans="4:9">
      <c r="D322" s="27" t="str">
        <f>IFERROR(VLOOKUP(A322,テーブル11[],2,FALSE),"")</f>
        <v/>
      </c>
      <c r="E322" s="25" t="str">
        <f>IFERROR(VLOOKUP($B322,テーブル12[],2,FALSE),"")</f>
        <v/>
      </c>
      <c r="F322" s="25" t="str">
        <f>IFERROR(VLOOKUP($B322,テーブル12[],3,FALSE),"")</f>
        <v/>
      </c>
      <c r="G322" s="31" t="str">
        <f>IFERROR(VLOOKUP($B322,テーブル12[],4,FALSE),"")</f>
        <v/>
      </c>
      <c r="H322" s="25" t="str">
        <f t="shared" ref="H322:H385" si="10">IF(C322=0,"",C322)</f>
        <v/>
      </c>
      <c r="I322" s="31" t="str">
        <f t="shared" ref="I322:I380" si="11">IF(C322=0,"",G322*C322)</f>
        <v/>
      </c>
    </row>
    <row r="323" spans="4:9">
      <c r="D323" s="27" t="str">
        <f>IFERROR(VLOOKUP(A323,テーブル11[],2,FALSE),"")</f>
        <v/>
      </c>
      <c r="E323" s="25" t="str">
        <f>IFERROR(VLOOKUP($B323,テーブル12[],2,FALSE),"")</f>
        <v/>
      </c>
      <c r="F323" s="25" t="str">
        <f>IFERROR(VLOOKUP($B323,テーブル12[],3,FALSE),"")</f>
        <v/>
      </c>
      <c r="G323" s="31" t="str">
        <f>IFERROR(VLOOKUP($B323,テーブル12[],4,FALSE),"")</f>
        <v/>
      </c>
      <c r="H323" s="25" t="str">
        <f t="shared" si="10"/>
        <v/>
      </c>
      <c r="I323" s="31" t="str">
        <f t="shared" si="11"/>
        <v/>
      </c>
    </row>
    <row r="324" spans="4:9">
      <c r="D324" s="27" t="str">
        <f>IFERROR(VLOOKUP(A324,テーブル11[],2,FALSE),"")</f>
        <v/>
      </c>
      <c r="E324" s="25" t="str">
        <f>IFERROR(VLOOKUP($B324,テーブル12[],2,FALSE),"")</f>
        <v/>
      </c>
      <c r="F324" s="25" t="str">
        <f>IFERROR(VLOOKUP($B324,テーブル12[],3,FALSE),"")</f>
        <v/>
      </c>
      <c r="G324" s="31" t="str">
        <f>IFERROR(VLOOKUP($B324,テーブル12[],4,FALSE),"")</f>
        <v/>
      </c>
      <c r="H324" s="25" t="str">
        <f t="shared" si="10"/>
        <v/>
      </c>
      <c r="I324" s="31" t="str">
        <f t="shared" si="11"/>
        <v/>
      </c>
    </row>
    <row r="325" spans="4:9">
      <c r="D325" s="27" t="str">
        <f>IFERROR(VLOOKUP(A325,テーブル11[],2,FALSE),"")</f>
        <v/>
      </c>
      <c r="E325" s="25" t="str">
        <f>IFERROR(VLOOKUP($B325,テーブル12[],2,FALSE),"")</f>
        <v/>
      </c>
      <c r="F325" s="25" t="str">
        <f>IFERROR(VLOOKUP($B325,テーブル12[],3,FALSE),"")</f>
        <v/>
      </c>
      <c r="G325" s="31" t="str">
        <f>IFERROR(VLOOKUP($B325,テーブル12[],4,FALSE),"")</f>
        <v/>
      </c>
      <c r="H325" s="25" t="str">
        <f t="shared" si="10"/>
        <v/>
      </c>
      <c r="I325" s="31" t="str">
        <f t="shared" si="11"/>
        <v/>
      </c>
    </row>
    <row r="326" spans="4:9">
      <c r="D326" s="27" t="str">
        <f>IFERROR(VLOOKUP(A326,テーブル11[],2,FALSE),"")</f>
        <v/>
      </c>
      <c r="E326" s="25" t="str">
        <f>IFERROR(VLOOKUP($B326,テーブル12[],2,FALSE),"")</f>
        <v/>
      </c>
      <c r="F326" s="25" t="str">
        <f>IFERROR(VLOOKUP($B326,テーブル12[],3,FALSE),"")</f>
        <v/>
      </c>
      <c r="G326" s="31" t="str">
        <f>IFERROR(VLOOKUP($B326,テーブル12[],4,FALSE),"")</f>
        <v/>
      </c>
      <c r="H326" s="25" t="str">
        <f t="shared" si="10"/>
        <v/>
      </c>
      <c r="I326" s="31" t="str">
        <f t="shared" si="11"/>
        <v/>
      </c>
    </row>
    <row r="327" spans="4:9">
      <c r="D327" s="27" t="str">
        <f>IFERROR(VLOOKUP(A327,テーブル11[],2,FALSE),"")</f>
        <v/>
      </c>
      <c r="E327" s="25" t="str">
        <f>IFERROR(VLOOKUP($B327,テーブル12[],2,FALSE),"")</f>
        <v/>
      </c>
      <c r="F327" s="25" t="str">
        <f>IFERROR(VLOOKUP($B327,テーブル12[],3,FALSE),"")</f>
        <v/>
      </c>
      <c r="G327" s="31" t="str">
        <f>IFERROR(VLOOKUP($B327,テーブル12[],4,FALSE),"")</f>
        <v/>
      </c>
      <c r="H327" s="25" t="str">
        <f t="shared" si="10"/>
        <v/>
      </c>
      <c r="I327" s="31" t="str">
        <f t="shared" si="11"/>
        <v/>
      </c>
    </row>
    <row r="328" spans="4:9">
      <c r="D328" s="27" t="str">
        <f>IFERROR(VLOOKUP(A328,テーブル11[],2,FALSE),"")</f>
        <v/>
      </c>
      <c r="E328" s="25" t="str">
        <f>IFERROR(VLOOKUP($B328,テーブル12[],2,FALSE),"")</f>
        <v/>
      </c>
      <c r="F328" s="25" t="str">
        <f>IFERROR(VLOOKUP($B328,テーブル12[],3,FALSE),"")</f>
        <v/>
      </c>
      <c r="G328" s="31" t="str">
        <f>IFERROR(VLOOKUP($B328,テーブル12[],4,FALSE),"")</f>
        <v/>
      </c>
      <c r="H328" s="25" t="str">
        <f t="shared" si="10"/>
        <v/>
      </c>
      <c r="I328" s="31" t="str">
        <f t="shared" si="11"/>
        <v/>
      </c>
    </row>
    <row r="329" spans="4:9">
      <c r="D329" s="27" t="str">
        <f>IFERROR(VLOOKUP(A329,テーブル11[],2,FALSE),"")</f>
        <v/>
      </c>
      <c r="E329" s="25" t="str">
        <f>IFERROR(VLOOKUP($B329,テーブル12[],2,FALSE),"")</f>
        <v/>
      </c>
      <c r="F329" s="25" t="str">
        <f>IFERROR(VLOOKUP($B329,テーブル12[],3,FALSE),"")</f>
        <v/>
      </c>
      <c r="G329" s="31" t="str">
        <f>IFERROR(VLOOKUP($B329,テーブル12[],4,FALSE),"")</f>
        <v/>
      </c>
      <c r="H329" s="25" t="str">
        <f t="shared" si="10"/>
        <v/>
      </c>
      <c r="I329" s="31" t="str">
        <f t="shared" si="11"/>
        <v/>
      </c>
    </row>
    <row r="330" spans="4:9">
      <c r="D330" s="27" t="str">
        <f>IFERROR(VLOOKUP(A330,テーブル11[],2,FALSE),"")</f>
        <v/>
      </c>
      <c r="E330" s="25" t="str">
        <f>IFERROR(VLOOKUP($B330,テーブル12[],2,FALSE),"")</f>
        <v/>
      </c>
      <c r="F330" s="25" t="str">
        <f>IFERROR(VLOOKUP($B330,テーブル12[],3,FALSE),"")</f>
        <v/>
      </c>
      <c r="G330" s="31" t="str">
        <f>IFERROR(VLOOKUP($B330,テーブル12[],4,FALSE),"")</f>
        <v/>
      </c>
      <c r="H330" s="25" t="str">
        <f t="shared" si="10"/>
        <v/>
      </c>
      <c r="I330" s="31" t="str">
        <f t="shared" si="11"/>
        <v/>
      </c>
    </row>
    <row r="331" spans="4:9">
      <c r="D331" s="27" t="str">
        <f>IFERROR(VLOOKUP(A331,テーブル11[],2,FALSE),"")</f>
        <v/>
      </c>
      <c r="E331" s="25" t="str">
        <f>IFERROR(VLOOKUP($B331,テーブル12[],2,FALSE),"")</f>
        <v/>
      </c>
      <c r="F331" s="25" t="str">
        <f>IFERROR(VLOOKUP($B331,テーブル12[],3,FALSE),"")</f>
        <v/>
      </c>
      <c r="G331" s="31" t="str">
        <f>IFERROR(VLOOKUP($B331,テーブル12[],4,FALSE),"")</f>
        <v/>
      </c>
      <c r="H331" s="25" t="str">
        <f t="shared" si="10"/>
        <v/>
      </c>
      <c r="I331" s="31" t="str">
        <f t="shared" si="11"/>
        <v/>
      </c>
    </row>
    <row r="332" spans="4:9">
      <c r="D332" s="27" t="str">
        <f>IFERROR(VLOOKUP(A332,テーブル11[],2,FALSE),"")</f>
        <v/>
      </c>
      <c r="E332" s="25" t="str">
        <f>IFERROR(VLOOKUP($B332,テーブル12[],2,FALSE),"")</f>
        <v/>
      </c>
      <c r="F332" s="25" t="str">
        <f>IFERROR(VLOOKUP($B332,テーブル12[],3,FALSE),"")</f>
        <v/>
      </c>
      <c r="G332" s="31" t="str">
        <f>IFERROR(VLOOKUP($B332,テーブル12[],4,FALSE),"")</f>
        <v/>
      </c>
      <c r="H332" s="25" t="str">
        <f t="shared" si="10"/>
        <v/>
      </c>
      <c r="I332" s="31" t="str">
        <f t="shared" si="11"/>
        <v/>
      </c>
    </row>
    <row r="333" spans="4:9">
      <c r="D333" s="27" t="str">
        <f>IFERROR(VLOOKUP(A333,テーブル11[],2,FALSE),"")</f>
        <v/>
      </c>
      <c r="E333" s="25" t="str">
        <f>IFERROR(VLOOKUP($B333,テーブル12[],2,FALSE),"")</f>
        <v/>
      </c>
      <c r="F333" s="25" t="str">
        <f>IFERROR(VLOOKUP($B333,テーブル12[],3,FALSE),"")</f>
        <v/>
      </c>
      <c r="G333" s="31" t="str">
        <f>IFERROR(VLOOKUP($B333,テーブル12[],4,FALSE),"")</f>
        <v/>
      </c>
      <c r="H333" s="25" t="str">
        <f t="shared" si="10"/>
        <v/>
      </c>
      <c r="I333" s="31" t="str">
        <f t="shared" si="11"/>
        <v/>
      </c>
    </row>
    <row r="334" spans="4:9">
      <c r="D334" s="27" t="str">
        <f>IFERROR(VLOOKUP(A334,テーブル11[],2,FALSE),"")</f>
        <v/>
      </c>
      <c r="E334" s="25" t="str">
        <f>IFERROR(VLOOKUP($B334,テーブル12[],2,FALSE),"")</f>
        <v/>
      </c>
      <c r="F334" s="25" t="str">
        <f>IFERROR(VLOOKUP($B334,テーブル12[],3,FALSE),"")</f>
        <v/>
      </c>
      <c r="G334" s="31" t="str">
        <f>IFERROR(VLOOKUP($B334,テーブル12[],4,FALSE),"")</f>
        <v/>
      </c>
      <c r="H334" s="25" t="str">
        <f t="shared" si="10"/>
        <v/>
      </c>
      <c r="I334" s="31" t="str">
        <f t="shared" si="11"/>
        <v/>
      </c>
    </row>
    <row r="335" spans="4:9">
      <c r="D335" s="27" t="str">
        <f>IFERROR(VLOOKUP(A335,テーブル11[],2,FALSE),"")</f>
        <v/>
      </c>
      <c r="E335" s="25" t="str">
        <f>IFERROR(VLOOKUP($B335,テーブル12[],2,FALSE),"")</f>
        <v/>
      </c>
      <c r="F335" s="25" t="str">
        <f>IFERROR(VLOOKUP($B335,テーブル12[],3,FALSE),"")</f>
        <v/>
      </c>
      <c r="G335" s="31" t="str">
        <f>IFERROR(VLOOKUP($B335,テーブル12[],4,FALSE),"")</f>
        <v/>
      </c>
      <c r="H335" s="25" t="str">
        <f t="shared" si="10"/>
        <v/>
      </c>
      <c r="I335" s="31" t="str">
        <f t="shared" si="11"/>
        <v/>
      </c>
    </row>
    <row r="336" spans="4:9">
      <c r="D336" s="27" t="str">
        <f>IFERROR(VLOOKUP(A336,テーブル11[],2,FALSE),"")</f>
        <v/>
      </c>
      <c r="E336" s="25" t="str">
        <f>IFERROR(VLOOKUP($B336,テーブル12[],2,FALSE),"")</f>
        <v/>
      </c>
      <c r="F336" s="25" t="str">
        <f>IFERROR(VLOOKUP($B336,テーブル12[],3,FALSE),"")</f>
        <v/>
      </c>
      <c r="G336" s="31" t="str">
        <f>IFERROR(VLOOKUP($B336,テーブル12[],4,FALSE),"")</f>
        <v/>
      </c>
      <c r="H336" s="25" t="str">
        <f t="shared" si="10"/>
        <v/>
      </c>
      <c r="I336" s="31" t="str">
        <f t="shared" si="11"/>
        <v/>
      </c>
    </row>
    <row r="337" spans="4:9">
      <c r="D337" s="27" t="str">
        <f>IFERROR(VLOOKUP(A337,テーブル11[],2,FALSE),"")</f>
        <v/>
      </c>
      <c r="E337" s="25" t="str">
        <f>IFERROR(VLOOKUP($B337,テーブル12[],2,FALSE),"")</f>
        <v/>
      </c>
      <c r="F337" s="25" t="str">
        <f>IFERROR(VLOOKUP($B337,テーブル12[],3,FALSE),"")</f>
        <v/>
      </c>
      <c r="G337" s="31" t="str">
        <f>IFERROR(VLOOKUP($B337,テーブル12[],4,FALSE),"")</f>
        <v/>
      </c>
      <c r="H337" s="25" t="str">
        <f t="shared" si="10"/>
        <v/>
      </c>
      <c r="I337" s="31" t="str">
        <f t="shared" si="11"/>
        <v/>
      </c>
    </row>
    <row r="338" spans="4:9">
      <c r="D338" s="27" t="str">
        <f>IFERROR(VLOOKUP(A338,テーブル11[],2,FALSE),"")</f>
        <v/>
      </c>
      <c r="E338" s="25" t="str">
        <f>IFERROR(VLOOKUP($B338,テーブル12[],2,FALSE),"")</f>
        <v/>
      </c>
      <c r="F338" s="25" t="str">
        <f>IFERROR(VLOOKUP($B338,テーブル12[],3,FALSE),"")</f>
        <v/>
      </c>
      <c r="G338" s="31" t="str">
        <f>IFERROR(VLOOKUP($B338,テーブル12[],4,FALSE),"")</f>
        <v/>
      </c>
      <c r="H338" s="25" t="str">
        <f t="shared" si="10"/>
        <v/>
      </c>
      <c r="I338" s="31" t="str">
        <f t="shared" si="11"/>
        <v/>
      </c>
    </row>
    <row r="339" spans="4:9">
      <c r="D339" s="27" t="str">
        <f>IFERROR(VLOOKUP(A339,テーブル11[],2,FALSE),"")</f>
        <v/>
      </c>
      <c r="E339" s="25" t="str">
        <f>IFERROR(VLOOKUP($B339,テーブル12[],2,FALSE),"")</f>
        <v/>
      </c>
      <c r="F339" s="25" t="str">
        <f>IFERROR(VLOOKUP($B339,テーブル12[],3,FALSE),"")</f>
        <v/>
      </c>
      <c r="G339" s="31" t="str">
        <f>IFERROR(VLOOKUP($B339,テーブル12[],4,FALSE),"")</f>
        <v/>
      </c>
      <c r="H339" s="25" t="str">
        <f t="shared" si="10"/>
        <v/>
      </c>
      <c r="I339" s="31" t="str">
        <f t="shared" si="11"/>
        <v/>
      </c>
    </row>
    <row r="340" spans="4:9">
      <c r="D340" s="27" t="str">
        <f>IFERROR(VLOOKUP(A340,テーブル11[],2,FALSE),"")</f>
        <v/>
      </c>
      <c r="E340" s="25" t="str">
        <f>IFERROR(VLOOKUP($B340,テーブル12[],2,FALSE),"")</f>
        <v/>
      </c>
      <c r="F340" s="25" t="str">
        <f>IFERROR(VLOOKUP($B340,テーブル12[],3,FALSE),"")</f>
        <v/>
      </c>
      <c r="G340" s="31" t="str">
        <f>IFERROR(VLOOKUP($B340,テーブル12[],4,FALSE),"")</f>
        <v/>
      </c>
      <c r="H340" s="25" t="str">
        <f t="shared" si="10"/>
        <v/>
      </c>
      <c r="I340" s="31" t="str">
        <f t="shared" si="11"/>
        <v/>
      </c>
    </row>
    <row r="341" spans="4:9">
      <c r="D341" s="27" t="str">
        <f>IFERROR(VLOOKUP(A341,テーブル11[],2,FALSE),"")</f>
        <v/>
      </c>
      <c r="E341" s="25" t="str">
        <f>IFERROR(VLOOKUP($B341,テーブル12[],2,FALSE),"")</f>
        <v/>
      </c>
      <c r="F341" s="25" t="str">
        <f>IFERROR(VLOOKUP($B341,テーブル12[],3,FALSE),"")</f>
        <v/>
      </c>
      <c r="G341" s="31" t="str">
        <f>IFERROR(VLOOKUP($B341,テーブル12[],4,FALSE),"")</f>
        <v/>
      </c>
      <c r="H341" s="25" t="str">
        <f t="shared" si="10"/>
        <v/>
      </c>
      <c r="I341" s="31" t="str">
        <f t="shared" si="11"/>
        <v/>
      </c>
    </row>
    <row r="342" spans="4:9">
      <c r="D342" s="27" t="str">
        <f>IFERROR(VLOOKUP(A342,テーブル11[],2,FALSE),"")</f>
        <v/>
      </c>
      <c r="E342" s="25" t="str">
        <f>IFERROR(VLOOKUP($B342,テーブル12[],2,FALSE),"")</f>
        <v/>
      </c>
      <c r="F342" s="25" t="str">
        <f>IFERROR(VLOOKUP($B342,テーブル12[],3,FALSE),"")</f>
        <v/>
      </c>
      <c r="G342" s="31" t="str">
        <f>IFERROR(VLOOKUP($B342,テーブル12[],4,FALSE),"")</f>
        <v/>
      </c>
      <c r="H342" s="25" t="str">
        <f t="shared" si="10"/>
        <v/>
      </c>
      <c r="I342" s="31" t="str">
        <f t="shared" si="11"/>
        <v/>
      </c>
    </row>
    <row r="343" spans="4:9">
      <c r="D343" s="27" t="str">
        <f>IFERROR(VLOOKUP(A343,テーブル11[],2,FALSE),"")</f>
        <v/>
      </c>
      <c r="E343" s="25" t="str">
        <f>IFERROR(VLOOKUP($B343,テーブル12[],2,FALSE),"")</f>
        <v/>
      </c>
      <c r="F343" s="25" t="str">
        <f>IFERROR(VLOOKUP($B343,テーブル12[],3,FALSE),"")</f>
        <v/>
      </c>
      <c r="G343" s="31" t="str">
        <f>IFERROR(VLOOKUP($B343,テーブル12[],4,FALSE),"")</f>
        <v/>
      </c>
      <c r="H343" s="25" t="str">
        <f t="shared" si="10"/>
        <v/>
      </c>
      <c r="I343" s="31" t="str">
        <f t="shared" si="11"/>
        <v/>
      </c>
    </row>
    <row r="344" spans="4:9">
      <c r="D344" s="27" t="str">
        <f>IFERROR(VLOOKUP(A344,テーブル11[],2,FALSE),"")</f>
        <v/>
      </c>
      <c r="E344" s="25" t="str">
        <f>IFERROR(VLOOKUP($B344,テーブル12[],2,FALSE),"")</f>
        <v/>
      </c>
      <c r="F344" s="25" t="str">
        <f>IFERROR(VLOOKUP($B344,テーブル12[],3,FALSE),"")</f>
        <v/>
      </c>
      <c r="G344" s="31" t="str">
        <f>IFERROR(VLOOKUP($B344,テーブル12[],4,FALSE),"")</f>
        <v/>
      </c>
      <c r="H344" s="25" t="str">
        <f t="shared" si="10"/>
        <v/>
      </c>
      <c r="I344" s="31" t="str">
        <f t="shared" si="11"/>
        <v/>
      </c>
    </row>
    <row r="345" spans="4:9">
      <c r="D345" s="27" t="str">
        <f>IFERROR(VLOOKUP(A345,テーブル11[],2,FALSE),"")</f>
        <v/>
      </c>
      <c r="E345" s="25" t="str">
        <f>IFERROR(VLOOKUP($B345,テーブル12[],2,FALSE),"")</f>
        <v/>
      </c>
      <c r="F345" s="25" t="str">
        <f>IFERROR(VLOOKUP($B345,テーブル12[],3,FALSE),"")</f>
        <v/>
      </c>
      <c r="G345" s="31" t="str">
        <f>IFERROR(VLOOKUP($B345,テーブル12[],4,FALSE),"")</f>
        <v/>
      </c>
      <c r="H345" s="25" t="str">
        <f t="shared" si="10"/>
        <v/>
      </c>
      <c r="I345" s="31" t="str">
        <f t="shared" si="11"/>
        <v/>
      </c>
    </row>
    <row r="346" spans="4:9">
      <c r="D346" s="27" t="str">
        <f>IFERROR(VLOOKUP(A346,テーブル11[],2,FALSE),"")</f>
        <v/>
      </c>
      <c r="E346" s="25" t="str">
        <f>IFERROR(VLOOKUP($B346,テーブル12[],2,FALSE),"")</f>
        <v/>
      </c>
      <c r="F346" s="25" t="str">
        <f>IFERROR(VLOOKUP($B346,テーブル12[],3,FALSE),"")</f>
        <v/>
      </c>
      <c r="G346" s="31" t="str">
        <f>IFERROR(VLOOKUP($B346,テーブル12[],4,FALSE),"")</f>
        <v/>
      </c>
      <c r="H346" s="25" t="str">
        <f t="shared" si="10"/>
        <v/>
      </c>
      <c r="I346" s="31" t="str">
        <f t="shared" si="11"/>
        <v/>
      </c>
    </row>
    <row r="347" spans="4:9">
      <c r="D347" s="27" t="str">
        <f>IFERROR(VLOOKUP(A347,テーブル11[],2,FALSE),"")</f>
        <v/>
      </c>
      <c r="E347" s="25" t="str">
        <f>IFERROR(VLOOKUP($B347,テーブル12[],2,FALSE),"")</f>
        <v/>
      </c>
      <c r="F347" s="25" t="str">
        <f>IFERROR(VLOOKUP($B347,テーブル12[],3,FALSE),"")</f>
        <v/>
      </c>
      <c r="G347" s="31" t="str">
        <f>IFERROR(VLOOKUP($B347,テーブル12[],4,FALSE),"")</f>
        <v/>
      </c>
      <c r="H347" s="25" t="str">
        <f t="shared" si="10"/>
        <v/>
      </c>
      <c r="I347" s="31" t="str">
        <f t="shared" si="11"/>
        <v/>
      </c>
    </row>
    <row r="348" spans="4:9">
      <c r="D348" s="27" t="str">
        <f>IFERROR(VLOOKUP(A348,テーブル11[],2,FALSE),"")</f>
        <v/>
      </c>
      <c r="E348" s="25" t="str">
        <f>IFERROR(VLOOKUP($B348,テーブル12[],2,FALSE),"")</f>
        <v/>
      </c>
      <c r="F348" s="25" t="str">
        <f>IFERROR(VLOOKUP($B348,テーブル12[],3,FALSE),"")</f>
        <v/>
      </c>
      <c r="G348" s="31" t="str">
        <f>IFERROR(VLOOKUP($B348,テーブル12[],4,FALSE),"")</f>
        <v/>
      </c>
      <c r="H348" s="25" t="str">
        <f t="shared" si="10"/>
        <v/>
      </c>
      <c r="I348" s="31" t="str">
        <f t="shared" si="11"/>
        <v/>
      </c>
    </row>
    <row r="349" spans="4:9">
      <c r="D349" s="27" t="str">
        <f>IFERROR(VLOOKUP(A349,テーブル11[],2,FALSE),"")</f>
        <v/>
      </c>
      <c r="E349" s="25" t="str">
        <f>IFERROR(VLOOKUP($B349,テーブル12[],2,FALSE),"")</f>
        <v/>
      </c>
      <c r="F349" s="25" t="str">
        <f>IFERROR(VLOOKUP($B349,テーブル12[],3,FALSE),"")</f>
        <v/>
      </c>
      <c r="G349" s="31" t="str">
        <f>IFERROR(VLOOKUP($B349,テーブル12[],4,FALSE),"")</f>
        <v/>
      </c>
      <c r="H349" s="25" t="str">
        <f t="shared" si="10"/>
        <v/>
      </c>
      <c r="I349" s="31" t="str">
        <f t="shared" si="11"/>
        <v/>
      </c>
    </row>
    <row r="350" spans="4:9">
      <c r="D350" s="27" t="str">
        <f>IFERROR(VLOOKUP(A350,テーブル11[],2,FALSE),"")</f>
        <v/>
      </c>
      <c r="E350" s="25" t="str">
        <f>IFERROR(VLOOKUP($B350,テーブル12[],2,FALSE),"")</f>
        <v/>
      </c>
      <c r="F350" s="25" t="str">
        <f>IFERROR(VLOOKUP($B350,テーブル12[],3,FALSE),"")</f>
        <v/>
      </c>
      <c r="G350" s="31" t="str">
        <f>IFERROR(VLOOKUP($B350,テーブル12[],4,FALSE),"")</f>
        <v/>
      </c>
      <c r="H350" s="25" t="str">
        <f t="shared" si="10"/>
        <v/>
      </c>
      <c r="I350" s="31" t="str">
        <f t="shared" si="11"/>
        <v/>
      </c>
    </row>
    <row r="351" spans="4:9">
      <c r="D351" s="27" t="str">
        <f>IFERROR(VLOOKUP(A351,テーブル11[],2,FALSE),"")</f>
        <v/>
      </c>
      <c r="E351" s="25" t="str">
        <f>IFERROR(VLOOKUP($B351,テーブル12[],2,FALSE),"")</f>
        <v/>
      </c>
      <c r="F351" s="25" t="str">
        <f>IFERROR(VLOOKUP($B351,テーブル12[],3,FALSE),"")</f>
        <v/>
      </c>
      <c r="G351" s="31" t="str">
        <f>IFERROR(VLOOKUP($B351,テーブル12[],4,FALSE),"")</f>
        <v/>
      </c>
      <c r="H351" s="25" t="str">
        <f t="shared" si="10"/>
        <v/>
      </c>
      <c r="I351" s="31" t="str">
        <f t="shared" si="11"/>
        <v/>
      </c>
    </row>
    <row r="352" spans="4:9">
      <c r="D352" s="27" t="str">
        <f>IFERROR(VLOOKUP(A352,テーブル11[],2,FALSE),"")</f>
        <v/>
      </c>
      <c r="E352" s="25" t="str">
        <f>IFERROR(VLOOKUP($B352,テーブル12[],2,FALSE),"")</f>
        <v/>
      </c>
      <c r="F352" s="25" t="str">
        <f>IFERROR(VLOOKUP($B352,テーブル12[],3,FALSE),"")</f>
        <v/>
      </c>
      <c r="G352" s="31" t="str">
        <f>IFERROR(VLOOKUP($B352,テーブル12[],4,FALSE),"")</f>
        <v/>
      </c>
      <c r="H352" s="25" t="str">
        <f t="shared" si="10"/>
        <v/>
      </c>
      <c r="I352" s="31" t="str">
        <f t="shared" si="11"/>
        <v/>
      </c>
    </row>
    <row r="353" spans="4:9">
      <c r="D353" s="27" t="str">
        <f>IFERROR(VLOOKUP(A353,テーブル11[],2,FALSE),"")</f>
        <v/>
      </c>
      <c r="E353" s="25" t="str">
        <f>IFERROR(VLOOKUP($B353,テーブル12[],2,FALSE),"")</f>
        <v/>
      </c>
      <c r="F353" s="25" t="str">
        <f>IFERROR(VLOOKUP($B353,テーブル12[],3,FALSE),"")</f>
        <v/>
      </c>
      <c r="G353" s="31" t="str">
        <f>IFERROR(VLOOKUP($B353,テーブル12[],4,FALSE),"")</f>
        <v/>
      </c>
      <c r="H353" s="25" t="str">
        <f t="shared" si="10"/>
        <v/>
      </c>
      <c r="I353" s="31" t="str">
        <f t="shared" si="11"/>
        <v/>
      </c>
    </row>
    <row r="354" spans="4:9">
      <c r="D354" s="27" t="str">
        <f>IFERROR(VLOOKUP(A354,テーブル11[],2,FALSE),"")</f>
        <v/>
      </c>
      <c r="E354" s="25" t="str">
        <f>IFERROR(VLOOKUP($B354,テーブル12[],2,FALSE),"")</f>
        <v/>
      </c>
      <c r="F354" s="25" t="str">
        <f>IFERROR(VLOOKUP($B354,テーブル12[],3,FALSE),"")</f>
        <v/>
      </c>
      <c r="G354" s="31" t="str">
        <f>IFERROR(VLOOKUP($B354,テーブル12[],4,FALSE),"")</f>
        <v/>
      </c>
      <c r="H354" s="25" t="str">
        <f t="shared" si="10"/>
        <v/>
      </c>
      <c r="I354" s="31" t="str">
        <f t="shared" si="11"/>
        <v/>
      </c>
    </row>
    <row r="355" spans="4:9">
      <c r="D355" s="27" t="str">
        <f>IFERROR(VLOOKUP(A355,テーブル11[],2,FALSE),"")</f>
        <v/>
      </c>
      <c r="E355" s="25" t="str">
        <f>IFERROR(VLOOKUP($B355,テーブル12[],2,FALSE),"")</f>
        <v/>
      </c>
      <c r="F355" s="25" t="str">
        <f>IFERROR(VLOOKUP($B355,テーブル12[],3,FALSE),"")</f>
        <v/>
      </c>
      <c r="G355" s="31" t="str">
        <f>IFERROR(VLOOKUP($B355,テーブル12[],4,FALSE),"")</f>
        <v/>
      </c>
      <c r="H355" s="25" t="str">
        <f t="shared" si="10"/>
        <v/>
      </c>
      <c r="I355" s="31" t="str">
        <f t="shared" si="11"/>
        <v/>
      </c>
    </row>
    <row r="356" spans="4:9">
      <c r="D356" s="27" t="str">
        <f>IFERROR(VLOOKUP(A356,テーブル11[],2,FALSE),"")</f>
        <v/>
      </c>
      <c r="E356" s="25" t="str">
        <f>IFERROR(VLOOKUP($B356,テーブル12[],2,FALSE),"")</f>
        <v/>
      </c>
      <c r="F356" s="25" t="str">
        <f>IFERROR(VLOOKUP($B356,テーブル12[],3,FALSE),"")</f>
        <v/>
      </c>
      <c r="G356" s="31" t="str">
        <f>IFERROR(VLOOKUP($B356,テーブル12[],4,FALSE),"")</f>
        <v/>
      </c>
      <c r="H356" s="25" t="str">
        <f t="shared" si="10"/>
        <v/>
      </c>
      <c r="I356" s="31" t="str">
        <f t="shared" si="11"/>
        <v/>
      </c>
    </row>
    <row r="357" spans="4:9">
      <c r="D357" s="27" t="str">
        <f>IFERROR(VLOOKUP(A357,テーブル11[],2,FALSE),"")</f>
        <v/>
      </c>
      <c r="E357" s="25" t="str">
        <f>IFERROR(VLOOKUP($B357,テーブル12[],2,FALSE),"")</f>
        <v/>
      </c>
      <c r="F357" s="25" t="str">
        <f>IFERROR(VLOOKUP($B357,テーブル12[],3,FALSE),"")</f>
        <v/>
      </c>
      <c r="G357" s="31" t="str">
        <f>IFERROR(VLOOKUP($B357,テーブル12[],4,FALSE),"")</f>
        <v/>
      </c>
      <c r="H357" s="25" t="str">
        <f t="shared" si="10"/>
        <v/>
      </c>
      <c r="I357" s="31" t="str">
        <f t="shared" si="11"/>
        <v/>
      </c>
    </row>
    <row r="358" spans="4:9">
      <c r="D358" s="27" t="str">
        <f>IFERROR(VLOOKUP(A358,テーブル11[],2,FALSE),"")</f>
        <v/>
      </c>
      <c r="E358" s="25" t="str">
        <f>IFERROR(VLOOKUP($B358,テーブル12[],2,FALSE),"")</f>
        <v/>
      </c>
      <c r="F358" s="25" t="str">
        <f>IFERROR(VLOOKUP($B358,テーブル12[],3,FALSE),"")</f>
        <v/>
      </c>
      <c r="G358" s="31" t="str">
        <f>IFERROR(VLOOKUP($B358,テーブル12[],4,FALSE),"")</f>
        <v/>
      </c>
      <c r="H358" s="25" t="str">
        <f t="shared" si="10"/>
        <v/>
      </c>
      <c r="I358" s="31" t="str">
        <f t="shared" si="11"/>
        <v/>
      </c>
    </row>
    <row r="359" spans="4:9">
      <c r="D359" s="27" t="str">
        <f>IFERROR(VLOOKUP(A359,テーブル11[],2,FALSE),"")</f>
        <v/>
      </c>
      <c r="E359" s="25" t="str">
        <f>IFERROR(VLOOKUP($B359,テーブル12[],2,FALSE),"")</f>
        <v/>
      </c>
      <c r="F359" s="25" t="str">
        <f>IFERROR(VLOOKUP($B359,テーブル12[],3,FALSE),"")</f>
        <v/>
      </c>
      <c r="G359" s="31" t="str">
        <f>IFERROR(VLOOKUP($B359,テーブル12[],4,FALSE),"")</f>
        <v/>
      </c>
      <c r="H359" s="25" t="str">
        <f t="shared" si="10"/>
        <v/>
      </c>
      <c r="I359" s="31" t="str">
        <f t="shared" si="11"/>
        <v/>
      </c>
    </row>
    <row r="360" spans="4:9">
      <c r="D360" s="27" t="str">
        <f>IFERROR(VLOOKUP(A360,テーブル11[],2,FALSE),"")</f>
        <v/>
      </c>
      <c r="E360" s="25" t="str">
        <f>IFERROR(VLOOKUP($B360,テーブル12[],2,FALSE),"")</f>
        <v/>
      </c>
      <c r="F360" s="25" t="str">
        <f>IFERROR(VLOOKUP($B360,テーブル12[],3,FALSE),"")</f>
        <v/>
      </c>
      <c r="G360" s="31" t="str">
        <f>IFERROR(VLOOKUP($B360,テーブル12[],4,FALSE),"")</f>
        <v/>
      </c>
      <c r="H360" s="25" t="str">
        <f t="shared" si="10"/>
        <v/>
      </c>
      <c r="I360" s="31" t="str">
        <f t="shared" si="11"/>
        <v/>
      </c>
    </row>
    <row r="361" spans="4:9">
      <c r="D361" s="27" t="str">
        <f>IFERROR(VLOOKUP(A361,テーブル11[],2,FALSE),"")</f>
        <v/>
      </c>
      <c r="E361" s="25" t="str">
        <f>IFERROR(VLOOKUP($B361,テーブル12[],2,FALSE),"")</f>
        <v/>
      </c>
      <c r="F361" s="25" t="str">
        <f>IFERROR(VLOOKUP($B361,テーブル12[],3,FALSE),"")</f>
        <v/>
      </c>
      <c r="G361" s="31" t="str">
        <f>IFERROR(VLOOKUP($B361,テーブル12[],4,FALSE),"")</f>
        <v/>
      </c>
      <c r="H361" s="25" t="str">
        <f t="shared" si="10"/>
        <v/>
      </c>
      <c r="I361" s="31" t="str">
        <f t="shared" si="11"/>
        <v/>
      </c>
    </row>
    <row r="362" spans="4:9">
      <c r="D362" s="27" t="str">
        <f>IFERROR(VLOOKUP(A362,テーブル11[],2,FALSE),"")</f>
        <v/>
      </c>
      <c r="E362" s="25" t="str">
        <f>IFERROR(VLOOKUP($B362,テーブル12[],2,FALSE),"")</f>
        <v/>
      </c>
      <c r="F362" s="25" t="str">
        <f>IFERROR(VLOOKUP($B362,テーブル12[],3,FALSE),"")</f>
        <v/>
      </c>
      <c r="G362" s="31" t="str">
        <f>IFERROR(VLOOKUP($B362,テーブル12[],4,FALSE),"")</f>
        <v/>
      </c>
      <c r="H362" s="25" t="str">
        <f t="shared" si="10"/>
        <v/>
      </c>
      <c r="I362" s="31" t="str">
        <f t="shared" si="11"/>
        <v/>
      </c>
    </row>
    <row r="363" spans="4:9">
      <c r="D363" s="27" t="str">
        <f>IFERROR(VLOOKUP(A363,テーブル11[],2,FALSE),"")</f>
        <v/>
      </c>
      <c r="E363" s="25" t="str">
        <f>IFERROR(VLOOKUP($B363,テーブル12[],2,FALSE),"")</f>
        <v/>
      </c>
      <c r="F363" s="25" t="str">
        <f>IFERROR(VLOOKUP($B363,テーブル12[],3,FALSE),"")</f>
        <v/>
      </c>
      <c r="G363" s="31" t="str">
        <f>IFERROR(VLOOKUP($B363,テーブル12[],4,FALSE),"")</f>
        <v/>
      </c>
      <c r="H363" s="25" t="str">
        <f t="shared" si="10"/>
        <v/>
      </c>
      <c r="I363" s="31" t="str">
        <f t="shared" si="11"/>
        <v/>
      </c>
    </row>
    <row r="364" spans="4:9">
      <c r="D364" s="27" t="str">
        <f>IFERROR(VLOOKUP(A364,テーブル11[],2,FALSE),"")</f>
        <v/>
      </c>
      <c r="E364" s="25" t="str">
        <f>IFERROR(VLOOKUP($B364,テーブル12[],2,FALSE),"")</f>
        <v/>
      </c>
      <c r="F364" s="25" t="str">
        <f>IFERROR(VLOOKUP($B364,テーブル12[],3,FALSE),"")</f>
        <v/>
      </c>
      <c r="G364" s="31" t="str">
        <f>IFERROR(VLOOKUP($B364,テーブル12[],4,FALSE),"")</f>
        <v/>
      </c>
      <c r="H364" s="25" t="str">
        <f t="shared" si="10"/>
        <v/>
      </c>
      <c r="I364" s="31" t="str">
        <f t="shared" si="11"/>
        <v/>
      </c>
    </row>
    <row r="365" spans="4:9">
      <c r="D365" s="27" t="str">
        <f>IFERROR(VLOOKUP(A365,テーブル11[],2,FALSE),"")</f>
        <v/>
      </c>
      <c r="E365" s="25" t="str">
        <f>IFERROR(VLOOKUP($B365,テーブル12[],2,FALSE),"")</f>
        <v/>
      </c>
      <c r="F365" s="25" t="str">
        <f>IFERROR(VLOOKUP($B365,テーブル12[],3,FALSE),"")</f>
        <v/>
      </c>
      <c r="G365" s="31" t="str">
        <f>IFERROR(VLOOKUP($B365,テーブル12[],4,FALSE),"")</f>
        <v/>
      </c>
      <c r="H365" s="25" t="str">
        <f t="shared" si="10"/>
        <v/>
      </c>
      <c r="I365" s="31" t="str">
        <f t="shared" si="11"/>
        <v/>
      </c>
    </row>
    <row r="366" spans="4:9">
      <c r="D366" s="27" t="str">
        <f>IFERROR(VLOOKUP(A366,テーブル11[],2,FALSE),"")</f>
        <v/>
      </c>
      <c r="E366" s="25" t="str">
        <f>IFERROR(VLOOKUP($B366,テーブル12[],2,FALSE),"")</f>
        <v/>
      </c>
      <c r="F366" s="25" t="str">
        <f>IFERROR(VLOOKUP($B366,テーブル12[],3,FALSE),"")</f>
        <v/>
      </c>
      <c r="G366" s="31" t="str">
        <f>IFERROR(VLOOKUP($B366,テーブル12[],4,FALSE),"")</f>
        <v/>
      </c>
      <c r="H366" s="25" t="str">
        <f t="shared" si="10"/>
        <v/>
      </c>
      <c r="I366" s="31" t="str">
        <f t="shared" si="11"/>
        <v/>
      </c>
    </row>
    <row r="367" spans="4:9">
      <c r="D367" s="27" t="str">
        <f>IFERROR(VLOOKUP(A367,テーブル11[],2,FALSE),"")</f>
        <v/>
      </c>
      <c r="E367" s="25" t="str">
        <f>IFERROR(VLOOKUP($B367,テーブル12[],2,FALSE),"")</f>
        <v/>
      </c>
      <c r="F367" s="25" t="str">
        <f>IFERROR(VLOOKUP($B367,テーブル12[],3,FALSE),"")</f>
        <v/>
      </c>
      <c r="G367" s="31" t="str">
        <f>IFERROR(VLOOKUP($B367,テーブル12[],4,FALSE),"")</f>
        <v/>
      </c>
      <c r="H367" s="25" t="str">
        <f t="shared" si="10"/>
        <v/>
      </c>
      <c r="I367" s="31" t="str">
        <f t="shared" si="11"/>
        <v/>
      </c>
    </row>
    <row r="368" spans="4:9">
      <c r="D368" s="27" t="str">
        <f>IFERROR(VLOOKUP(A368,テーブル11[],2,FALSE),"")</f>
        <v/>
      </c>
      <c r="E368" s="25" t="str">
        <f>IFERROR(VLOOKUP($B368,テーブル12[],2,FALSE),"")</f>
        <v/>
      </c>
      <c r="F368" s="25" t="str">
        <f>IFERROR(VLOOKUP($B368,テーブル12[],3,FALSE),"")</f>
        <v/>
      </c>
      <c r="G368" s="31" t="str">
        <f>IFERROR(VLOOKUP($B368,テーブル12[],4,FALSE),"")</f>
        <v/>
      </c>
      <c r="H368" s="25" t="str">
        <f t="shared" si="10"/>
        <v/>
      </c>
      <c r="I368" s="31" t="str">
        <f t="shared" si="11"/>
        <v/>
      </c>
    </row>
    <row r="369" spans="4:9">
      <c r="D369" s="27" t="str">
        <f>IFERROR(VLOOKUP(A369,テーブル11[],2,FALSE),"")</f>
        <v/>
      </c>
      <c r="E369" s="25" t="str">
        <f>IFERROR(VLOOKUP($B369,テーブル12[],2,FALSE),"")</f>
        <v/>
      </c>
      <c r="F369" s="25" t="str">
        <f>IFERROR(VLOOKUP($B369,テーブル12[],3,FALSE),"")</f>
        <v/>
      </c>
      <c r="G369" s="31" t="str">
        <f>IFERROR(VLOOKUP($B369,テーブル12[],4,FALSE),"")</f>
        <v/>
      </c>
      <c r="H369" s="25" t="str">
        <f t="shared" si="10"/>
        <v/>
      </c>
      <c r="I369" s="31" t="str">
        <f t="shared" si="11"/>
        <v/>
      </c>
    </row>
    <row r="370" spans="4:9">
      <c r="D370" s="27" t="str">
        <f>IFERROR(VLOOKUP(A370,テーブル11[],2,FALSE),"")</f>
        <v/>
      </c>
      <c r="E370" s="25" t="str">
        <f>IFERROR(VLOOKUP($B370,テーブル12[],2,FALSE),"")</f>
        <v/>
      </c>
      <c r="F370" s="25" t="str">
        <f>IFERROR(VLOOKUP($B370,テーブル12[],3,FALSE),"")</f>
        <v/>
      </c>
      <c r="G370" s="31" t="str">
        <f>IFERROR(VLOOKUP($B370,テーブル12[],4,FALSE),"")</f>
        <v/>
      </c>
      <c r="H370" s="25" t="str">
        <f t="shared" si="10"/>
        <v/>
      </c>
      <c r="I370" s="31" t="str">
        <f t="shared" si="11"/>
        <v/>
      </c>
    </row>
    <row r="371" spans="4:9">
      <c r="D371" s="27" t="str">
        <f>IFERROR(VLOOKUP(A371,テーブル11[],2,FALSE),"")</f>
        <v/>
      </c>
      <c r="E371" s="25" t="str">
        <f>IFERROR(VLOOKUP($B371,テーブル12[],2,FALSE),"")</f>
        <v/>
      </c>
      <c r="F371" s="25" t="str">
        <f>IFERROR(VLOOKUP($B371,テーブル12[],3,FALSE),"")</f>
        <v/>
      </c>
      <c r="G371" s="31" t="str">
        <f>IFERROR(VLOOKUP($B371,テーブル12[],4,FALSE),"")</f>
        <v/>
      </c>
      <c r="H371" s="25" t="str">
        <f t="shared" si="10"/>
        <v/>
      </c>
      <c r="I371" s="31" t="str">
        <f t="shared" si="11"/>
        <v/>
      </c>
    </row>
    <row r="372" spans="4:9">
      <c r="D372" s="27" t="str">
        <f>IFERROR(VLOOKUP(A372,テーブル11[],2,FALSE),"")</f>
        <v/>
      </c>
      <c r="E372" s="25" t="str">
        <f>IFERROR(VLOOKUP($B372,テーブル12[],2,FALSE),"")</f>
        <v/>
      </c>
      <c r="F372" s="25" t="str">
        <f>IFERROR(VLOOKUP($B372,テーブル12[],3,FALSE),"")</f>
        <v/>
      </c>
      <c r="G372" s="31" t="str">
        <f>IFERROR(VLOOKUP($B372,テーブル12[],4,FALSE),"")</f>
        <v/>
      </c>
      <c r="H372" s="25" t="str">
        <f t="shared" si="10"/>
        <v/>
      </c>
      <c r="I372" s="31" t="str">
        <f t="shared" si="11"/>
        <v/>
      </c>
    </row>
    <row r="373" spans="4:9">
      <c r="D373" s="27" t="str">
        <f>IFERROR(VLOOKUP(A373,テーブル11[],2,FALSE),"")</f>
        <v/>
      </c>
      <c r="E373" s="25" t="str">
        <f>IFERROR(VLOOKUP($B373,テーブル12[],2,FALSE),"")</f>
        <v/>
      </c>
      <c r="F373" s="25" t="str">
        <f>IFERROR(VLOOKUP($B373,テーブル12[],3,FALSE),"")</f>
        <v/>
      </c>
      <c r="G373" s="31" t="str">
        <f>IFERROR(VLOOKUP($B373,テーブル12[],4,FALSE),"")</f>
        <v/>
      </c>
      <c r="H373" s="25" t="str">
        <f t="shared" si="10"/>
        <v/>
      </c>
      <c r="I373" s="31" t="str">
        <f t="shared" si="11"/>
        <v/>
      </c>
    </row>
    <row r="374" spans="4:9">
      <c r="D374" s="27" t="str">
        <f>IFERROR(VLOOKUP(A374,テーブル11[],2,FALSE),"")</f>
        <v/>
      </c>
      <c r="E374" s="25" t="str">
        <f>IFERROR(VLOOKUP($B374,テーブル12[],2,FALSE),"")</f>
        <v/>
      </c>
      <c r="F374" s="25" t="str">
        <f>IFERROR(VLOOKUP($B374,テーブル12[],3,FALSE),"")</f>
        <v/>
      </c>
      <c r="G374" s="31" t="str">
        <f>IFERROR(VLOOKUP($B374,テーブル12[],4,FALSE),"")</f>
        <v/>
      </c>
      <c r="H374" s="25" t="str">
        <f t="shared" si="10"/>
        <v/>
      </c>
      <c r="I374" s="31" t="str">
        <f t="shared" si="11"/>
        <v/>
      </c>
    </row>
    <row r="375" spans="4:9">
      <c r="D375" s="27" t="str">
        <f>IFERROR(VLOOKUP(A375,テーブル11[],2,FALSE),"")</f>
        <v/>
      </c>
      <c r="E375" s="25" t="str">
        <f>IFERROR(VLOOKUP($B375,テーブル12[],2,FALSE),"")</f>
        <v/>
      </c>
      <c r="F375" s="25" t="str">
        <f>IFERROR(VLOOKUP($B375,テーブル12[],3,FALSE),"")</f>
        <v/>
      </c>
      <c r="G375" s="31" t="str">
        <f>IFERROR(VLOOKUP($B375,テーブル12[],4,FALSE),"")</f>
        <v/>
      </c>
      <c r="H375" s="25" t="str">
        <f t="shared" si="10"/>
        <v/>
      </c>
      <c r="I375" s="31" t="str">
        <f t="shared" si="11"/>
        <v/>
      </c>
    </row>
    <row r="376" spans="4:9">
      <c r="D376" s="27" t="str">
        <f>IFERROR(VLOOKUP(A376,テーブル11[],2,FALSE),"")</f>
        <v/>
      </c>
      <c r="E376" s="25" t="str">
        <f>IFERROR(VLOOKUP($B376,テーブル12[],2,FALSE),"")</f>
        <v/>
      </c>
      <c r="F376" s="25" t="str">
        <f>IFERROR(VLOOKUP($B376,テーブル12[],3,FALSE),"")</f>
        <v/>
      </c>
      <c r="G376" s="31" t="str">
        <f>IFERROR(VLOOKUP($B376,テーブル12[],4,FALSE),"")</f>
        <v/>
      </c>
      <c r="H376" s="25" t="str">
        <f t="shared" si="10"/>
        <v/>
      </c>
      <c r="I376" s="31" t="str">
        <f t="shared" si="11"/>
        <v/>
      </c>
    </row>
    <row r="377" spans="4:9">
      <c r="D377" s="27" t="str">
        <f>IFERROR(VLOOKUP(A377,テーブル11[],2,FALSE),"")</f>
        <v/>
      </c>
      <c r="E377" s="25" t="str">
        <f>IFERROR(VLOOKUP($B377,テーブル12[],2,FALSE),"")</f>
        <v/>
      </c>
      <c r="F377" s="25" t="str">
        <f>IFERROR(VLOOKUP($B377,テーブル12[],3,FALSE),"")</f>
        <v/>
      </c>
      <c r="G377" s="31" t="str">
        <f>IFERROR(VLOOKUP($B377,テーブル12[],4,FALSE),"")</f>
        <v/>
      </c>
      <c r="H377" s="25" t="str">
        <f t="shared" si="10"/>
        <v/>
      </c>
      <c r="I377" s="31" t="str">
        <f t="shared" si="11"/>
        <v/>
      </c>
    </row>
    <row r="378" spans="4:9">
      <c r="D378" s="27" t="str">
        <f>IFERROR(VLOOKUP(A378,テーブル11[],2,FALSE),"")</f>
        <v/>
      </c>
      <c r="E378" s="25" t="str">
        <f>IFERROR(VLOOKUP($B378,テーブル12[],2,FALSE),"")</f>
        <v/>
      </c>
      <c r="F378" s="25" t="str">
        <f>IFERROR(VLOOKUP($B378,テーブル12[],3,FALSE),"")</f>
        <v/>
      </c>
      <c r="G378" s="31" t="str">
        <f>IFERROR(VLOOKUP($B378,テーブル12[],4,FALSE),"")</f>
        <v/>
      </c>
      <c r="H378" s="25" t="str">
        <f t="shared" si="10"/>
        <v/>
      </c>
      <c r="I378" s="31" t="str">
        <f t="shared" si="11"/>
        <v/>
      </c>
    </row>
    <row r="379" spans="4:9">
      <c r="D379" s="27" t="str">
        <f>IFERROR(VLOOKUP(A379,テーブル11[],2,FALSE),"")</f>
        <v/>
      </c>
      <c r="E379" s="25" t="str">
        <f>IFERROR(VLOOKUP($B379,テーブル12[],2,FALSE),"")</f>
        <v/>
      </c>
      <c r="F379" s="25" t="str">
        <f>IFERROR(VLOOKUP($B379,テーブル12[],3,FALSE),"")</f>
        <v/>
      </c>
      <c r="G379" s="31" t="str">
        <f>IFERROR(VLOOKUP($B379,テーブル12[],4,FALSE),"")</f>
        <v/>
      </c>
      <c r="H379" s="25" t="str">
        <f t="shared" si="10"/>
        <v/>
      </c>
      <c r="I379" s="31" t="str">
        <f t="shared" si="11"/>
        <v/>
      </c>
    </row>
    <row r="380" spans="4:9">
      <c r="D380" s="27" t="str">
        <f>IFERROR(VLOOKUP(A380,テーブル11[],2,FALSE),"")</f>
        <v/>
      </c>
      <c r="E380" s="25" t="str">
        <f>IFERROR(VLOOKUP($B380,テーブル12[],2,FALSE),"")</f>
        <v/>
      </c>
      <c r="F380" s="25" t="str">
        <f>IFERROR(VLOOKUP($B380,テーブル12[],3,FALSE),"")</f>
        <v/>
      </c>
      <c r="G380" s="31" t="str">
        <f>IFERROR(VLOOKUP($B380,テーブル12[],4,FALSE),"")</f>
        <v/>
      </c>
      <c r="H380" s="25" t="str">
        <f t="shared" si="10"/>
        <v/>
      </c>
      <c r="I380" s="31" t="str">
        <f t="shared" si="11"/>
        <v/>
      </c>
    </row>
    <row r="381" spans="4:9">
      <c r="D381" s="27" t="str">
        <f>IFERROR(VLOOKUP(A381,テーブル11[],2,FALSE),"")</f>
        <v/>
      </c>
      <c r="E381" s="25" t="str">
        <f>IFERROR(VLOOKUP($B381,テーブル12[],2,FALSE),"")</f>
        <v/>
      </c>
      <c r="F381" s="25" t="str">
        <f>IFERROR(VLOOKUP($B381,テーブル12[],3,FALSE),"")</f>
        <v/>
      </c>
      <c r="G381" s="31" t="str">
        <f>IFERROR(VLOOKUP($B381,テーブル12[],4,FALSE),"")</f>
        <v/>
      </c>
      <c r="H381" s="25" t="str">
        <f t="shared" si="10"/>
        <v/>
      </c>
    </row>
    <row r="382" spans="4:9">
      <c r="D382" s="27" t="str">
        <f>IFERROR(VLOOKUP(A382,テーブル11[],2,FALSE),"")</f>
        <v/>
      </c>
      <c r="E382" s="25" t="str">
        <f>IFERROR(VLOOKUP($B382,テーブル12[],2,FALSE),"")</f>
        <v/>
      </c>
      <c r="F382" s="25" t="str">
        <f>IFERROR(VLOOKUP($B382,テーブル12[],3,FALSE),"")</f>
        <v/>
      </c>
      <c r="G382" s="31" t="str">
        <f>IFERROR(VLOOKUP($B382,テーブル12[],4,FALSE),"")</f>
        <v/>
      </c>
      <c r="H382" s="25" t="str">
        <f t="shared" si="10"/>
        <v/>
      </c>
    </row>
    <row r="383" spans="4:9">
      <c r="D383" s="27" t="str">
        <f>IFERROR(VLOOKUP(A383,テーブル11[],2,FALSE),"")</f>
        <v/>
      </c>
      <c r="E383" s="25" t="str">
        <f>IFERROR(VLOOKUP($B383,テーブル12[],2,FALSE),"")</f>
        <v/>
      </c>
      <c r="F383" s="25" t="str">
        <f>IFERROR(VLOOKUP($B383,テーブル12[],3,FALSE),"")</f>
        <v/>
      </c>
      <c r="G383" s="31" t="str">
        <f>IFERROR(VLOOKUP($B383,テーブル12[],4,FALSE),"")</f>
        <v/>
      </c>
      <c r="H383" s="25" t="str">
        <f t="shared" si="10"/>
        <v/>
      </c>
    </row>
    <row r="384" spans="4:9">
      <c r="D384" s="27" t="str">
        <f>IFERROR(VLOOKUP(A384,テーブル11[],2,FALSE),"")</f>
        <v/>
      </c>
      <c r="E384" s="25" t="str">
        <f>IFERROR(VLOOKUP($B384,テーブル12[],2,FALSE),"")</f>
        <v/>
      </c>
      <c r="F384" s="25" t="str">
        <f>IFERROR(VLOOKUP($B384,テーブル12[],3,FALSE),"")</f>
        <v/>
      </c>
      <c r="G384" s="31" t="str">
        <f>IFERROR(VLOOKUP($B384,テーブル12[],4,FALSE),"")</f>
        <v/>
      </c>
      <c r="H384" s="25" t="str">
        <f t="shared" si="10"/>
        <v/>
      </c>
    </row>
    <row r="385" spans="4:8">
      <c r="D385" s="27" t="str">
        <f>IFERROR(VLOOKUP(A385,テーブル11[],2,FALSE),"")</f>
        <v/>
      </c>
      <c r="E385" s="25" t="str">
        <f>IFERROR(VLOOKUP($B385,テーブル12[],2,FALSE),"")</f>
        <v/>
      </c>
      <c r="F385" s="25" t="str">
        <f>IFERROR(VLOOKUP($B385,テーブル12[],3,FALSE),"")</f>
        <v/>
      </c>
      <c r="G385" s="31" t="str">
        <f>IFERROR(VLOOKUP($B385,テーブル12[],4,FALSE),"")</f>
        <v/>
      </c>
      <c r="H385" s="25" t="str">
        <f t="shared" si="10"/>
        <v/>
      </c>
    </row>
    <row r="386" spans="4:8">
      <c r="D386" s="27" t="str">
        <f>IFERROR(VLOOKUP(A386,テーブル11[],2,FALSE),"")</f>
        <v/>
      </c>
      <c r="E386" s="25" t="str">
        <f>IFERROR(VLOOKUP($B386,テーブル12[],2,FALSE),"")</f>
        <v/>
      </c>
      <c r="F386" s="25" t="str">
        <f>IFERROR(VLOOKUP($B386,テーブル12[],3,FALSE),"")</f>
        <v/>
      </c>
      <c r="G386" s="31" t="str">
        <f>IFERROR(VLOOKUP($B386,テーブル12[],4,FALSE),"")</f>
        <v/>
      </c>
      <c r="H386" s="25" t="str">
        <f t="shared" ref="H386:H449" si="12">IF(C386=0,"",C386)</f>
        <v/>
      </c>
    </row>
    <row r="387" spans="4:8">
      <c r="D387" s="27" t="str">
        <f>IFERROR(VLOOKUP(A387,テーブル11[],2,FALSE),"")</f>
        <v/>
      </c>
      <c r="E387" s="25" t="str">
        <f>IFERROR(VLOOKUP($B387,テーブル12[],2,FALSE),"")</f>
        <v/>
      </c>
      <c r="F387" s="25" t="str">
        <f>IFERROR(VLOOKUP($B387,テーブル12[],3,FALSE),"")</f>
        <v/>
      </c>
      <c r="G387" s="31" t="str">
        <f>IFERROR(VLOOKUP($B387,テーブル12[],4,FALSE),"")</f>
        <v/>
      </c>
      <c r="H387" s="25" t="str">
        <f t="shared" si="12"/>
        <v/>
      </c>
    </row>
    <row r="388" spans="4:8">
      <c r="D388" s="27" t="str">
        <f>IFERROR(VLOOKUP(A388,テーブル11[],2,FALSE),"")</f>
        <v/>
      </c>
      <c r="E388" s="25" t="str">
        <f>IFERROR(VLOOKUP($B388,テーブル12[],2,FALSE),"")</f>
        <v/>
      </c>
      <c r="F388" s="25" t="str">
        <f>IFERROR(VLOOKUP($B388,テーブル12[],3,FALSE),"")</f>
        <v/>
      </c>
      <c r="G388" s="31" t="str">
        <f>IFERROR(VLOOKUP($B388,テーブル12[],4,FALSE),"")</f>
        <v/>
      </c>
      <c r="H388" s="25" t="str">
        <f t="shared" si="12"/>
        <v/>
      </c>
    </row>
    <row r="389" spans="4:8">
      <c r="D389" s="27" t="str">
        <f>IFERROR(VLOOKUP(A389,テーブル11[],2,FALSE),"")</f>
        <v/>
      </c>
      <c r="E389" s="25" t="str">
        <f>IFERROR(VLOOKUP($B389,テーブル12[],2,FALSE),"")</f>
        <v/>
      </c>
      <c r="F389" s="25" t="str">
        <f>IFERROR(VLOOKUP($B389,テーブル12[],3,FALSE),"")</f>
        <v/>
      </c>
      <c r="G389" s="31" t="str">
        <f>IFERROR(VLOOKUP($B389,テーブル12[],4,FALSE),"")</f>
        <v/>
      </c>
      <c r="H389" s="25" t="str">
        <f t="shared" si="12"/>
        <v/>
      </c>
    </row>
    <row r="390" spans="4:8">
      <c r="D390" s="27" t="str">
        <f>IFERROR(VLOOKUP(A390,テーブル11[],2,FALSE),"")</f>
        <v/>
      </c>
      <c r="E390" s="25" t="str">
        <f>IFERROR(VLOOKUP($B390,テーブル12[],2,FALSE),"")</f>
        <v/>
      </c>
      <c r="F390" s="25" t="str">
        <f>IFERROR(VLOOKUP($B390,テーブル12[],3,FALSE),"")</f>
        <v/>
      </c>
      <c r="G390" s="31" t="str">
        <f>IFERROR(VLOOKUP($B390,テーブル12[],4,FALSE),"")</f>
        <v/>
      </c>
      <c r="H390" s="25" t="str">
        <f t="shared" si="12"/>
        <v/>
      </c>
    </row>
    <row r="391" spans="4:8">
      <c r="D391" s="27" t="str">
        <f>IFERROR(VLOOKUP(A391,テーブル11[],2,FALSE),"")</f>
        <v/>
      </c>
      <c r="E391" s="25" t="str">
        <f>IFERROR(VLOOKUP($B391,テーブル12[],2,FALSE),"")</f>
        <v/>
      </c>
      <c r="F391" s="25" t="str">
        <f>IFERROR(VLOOKUP($B391,テーブル12[],3,FALSE),"")</f>
        <v/>
      </c>
      <c r="G391" s="31" t="str">
        <f>IFERROR(VLOOKUP($B391,テーブル12[],4,FALSE),"")</f>
        <v/>
      </c>
      <c r="H391" s="25" t="str">
        <f t="shared" si="12"/>
        <v/>
      </c>
    </row>
    <row r="392" spans="4:8">
      <c r="D392" s="27" t="str">
        <f>IFERROR(VLOOKUP(A392,テーブル11[],2,FALSE),"")</f>
        <v/>
      </c>
      <c r="E392" s="25" t="str">
        <f>IFERROR(VLOOKUP($B392,テーブル12[],2,FALSE),"")</f>
        <v/>
      </c>
      <c r="F392" s="25" t="str">
        <f>IFERROR(VLOOKUP($B392,テーブル12[],3,FALSE),"")</f>
        <v/>
      </c>
      <c r="G392" s="31" t="str">
        <f>IFERROR(VLOOKUP($B392,テーブル12[],4,FALSE),"")</f>
        <v/>
      </c>
      <c r="H392" s="25" t="str">
        <f t="shared" si="12"/>
        <v/>
      </c>
    </row>
    <row r="393" spans="4:8">
      <c r="D393" s="27" t="str">
        <f>IFERROR(VLOOKUP(A393,テーブル11[],2,FALSE),"")</f>
        <v/>
      </c>
      <c r="E393" s="25" t="str">
        <f>IFERROR(VLOOKUP($B393,テーブル12[],2,FALSE),"")</f>
        <v/>
      </c>
      <c r="F393" s="25" t="str">
        <f>IFERROR(VLOOKUP($B393,テーブル12[],3,FALSE),"")</f>
        <v/>
      </c>
      <c r="G393" s="31" t="str">
        <f>IFERROR(VLOOKUP($B393,テーブル12[],4,FALSE),"")</f>
        <v/>
      </c>
      <c r="H393" s="25" t="str">
        <f t="shared" si="12"/>
        <v/>
      </c>
    </row>
    <row r="394" spans="4:8">
      <c r="D394" s="27" t="str">
        <f>IFERROR(VLOOKUP(A394,テーブル11[],2,FALSE),"")</f>
        <v/>
      </c>
      <c r="E394" s="25" t="str">
        <f>IFERROR(VLOOKUP($B394,テーブル12[],2,FALSE),"")</f>
        <v/>
      </c>
      <c r="F394" s="25" t="str">
        <f>IFERROR(VLOOKUP($B394,テーブル12[],3,FALSE),"")</f>
        <v/>
      </c>
      <c r="G394" s="31" t="str">
        <f>IFERROR(VLOOKUP($B394,テーブル12[],4,FALSE),"")</f>
        <v/>
      </c>
      <c r="H394" s="25" t="str">
        <f t="shared" si="12"/>
        <v/>
      </c>
    </row>
    <row r="395" spans="4:8">
      <c r="D395" s="27" t="str">
        <f>IFERROR(VLOOKUP(A395,テーブル11[],2,FALSE),"")</f>
        <v/>
      </c>
      <c r="E395" s="25" t="str">
        <f>IFERROR(VLOOKUP($B395,テーブル12[],2,FALSE),"")</f>
        <v/>
      </c>
      <c r="F395" s="25" t="str">
        <f>IFERROR(VLOOKUP($B395,テーブル12[],3,FALSE),"")</f>
        <v/>
      </c>
      <c r="G395" s="31" t="str">
        <f>IFERROR(VLOOKUP($B395,テーブル12[],4,FALSE),"")</f>
        <v/>
      </c>
      <c r="H395" s="25" t="str">
        <f t="shared" si="12"/>
        <v/>
      </c>
    </row>
    <row r="396" spans="4:8">
      <c r="D396" s="27" t="str">
        <f>IFERROR(VLOOKUP(A396,テーブル11[],2,FALSE),"")</f>
        <v/>
      </c>
      <c r="E396" s="25" t="str">
        <f>IFERROR(VLOOKUP($B396,テーブル12[],2,FALSE),"")</f>
        <v/>
      </c>
      <c r="F396" s="25" t="str">
        <f>IFERROR(VLOOKUP($B396,テーブル12[],3,FALSE),"")</f>
        <v/>
      </c>
      <c r="G396" s="31" t="str">
        <f>IFERROR(VLOOKUP($B396,テーブル12[],4,FALSE),"")</f>
        <v/>
      </c>
      <c r="H396" s="25" t="str">
        <f t="shared" si="12"/>
        <v/>
      </c>
    </row>
    <row r="397" spans="4:8">
      <c r="D397" s="27" t="str">
        <f>IFERROR(VLOOKUP(A397,テーブル11[],2,FALSE),"")</f>
        <v/>
      </c>
      <c r="E397" s="25" t="str">
        <f>IFERROR(VLOOKUP($B397,テーブル12[],2,FALSE),"")</f>
        <v/>
      </c>
      <c r="F397" s="25" t="str">
        <f>IFERROR(VLOOKUP($B397,テーブル12[],3,FALSE),"")</f>
        <v/>
      </c>
      <c r="G397" s="31" t="str">
        <f>IFERROR(VLOOKUP($B397,テーブル12[],4,FALSE),"")</f>
        <v/>
      </c>
      <c r="H397" s="25" t="str">
        <f t="shared" si="12"/>
        <v/>
      </c>
    </row>
    <row r="398" spans="4:8">
      <c r="D398" s="27" t="str">
        <f>IFERROR(VLOOKUP(A398,テーブル11[],2,FALSE),"")</f>
        <v/>
      </c>
      <c r="E398" s="25" t="str">
        <f>IFERROR(VLOOKUP($B398,テーブル12[],2,FALSE),"")</f>
        <v/>
      </c>
      <c r="F398" s="25" t="str">
        <f>IFERROR(VLOOKUP($B398,テーブル12[],3,FALSE),"")</f>
        <v/>
      </c>
      <c r="G398" s="31" t="str">
        <f>IFERROR(VLOOKUP($B398,テーブル12[],4,FALSE),"")</f>
        <v/>
      </c>
      <c r="H398" s="25" t="str">
        <f t="shared" si="12"/>
        <v/>
      </c>
    </row>
    <row r="399" spans="4:8">
      <c r="D399" s="27" t="str">
        <f>IFERROR(VLOOKUP(A399,テーブル11[],2,FALSE),"")</f>
        <v/>
      </c>
      <c r="E399" s="25" t="str">
        <f>IFERROR(VLOOKUP($B399,テーブル12[],2,FALSE),"")</f>
        <v/>
      </c>
      <c r="F399" s="25" t="str">
        <f>IFERROR(VLOOKUP($B399,テーブル12[],3,FALSE),"")</f>
        <v/>
      </c>
      <c r="G399" s="31" t="str">
        <f>IFERROR(VLOOKUP($B399,テーブル12[],4,FALSE),"")</f>
        <v/>
      </c>
      <c r="H399" s="25" t="str">
        <f t="shared" si="12"/>
        <v/>
      </c>
    </row>
    <row r="400" spans="4:8">
      <c r="D400" s="27" t="str">
        <f>IFERROR(VLOOKUP(A400,テーブル11[],2,FALSE),"")</f>
        <v/>
      </c>
      <c r="E400" s="25" t="str">
        <f>IFERROR(VLOOKUP($B400,テーブル12[],2,FALSE),"")</f>
        <v/>
      </c>
      <c r="F400" s="25" t="str">
        <f>IFERROR(VLOOKUP($B400,テーブル12[],3,FALSE),"")</f>
        <v/>
      </c>
      <c r="G400" s="31" t="str">
        <f>IFERROR(VLOOKUP($B400,テーブル12[],4,FALSE),"")</f>
        <v/>
      </c>
      <c r="H400" s="25" t="str">
        <f t="shared" si="12"/>
        <v/>
      </c>
    </row>
    <row r="401" spans="4:8">
      <c r="D401" s="27" t="str">
        <f>IFERROR(VLOOKUP(A401,テーブル11[],2,FALSE),"")</f>
        <v/>
      </c>
      <c r="E401" s="25" t="str">
        <f>IFERROR(VLOOKUP($B401,テーブル12[],2,FALSE),"")</f>
        <v/>
      </c>
      <c r="F401" s="25" t="str">
        <f>IFERROR(VLOOKUP($B401,テーブル12[],3,FALSE),"")</f>
        <v/>
      </c>
      <c r="G401" s="31" t="str">
        <f>IFERROR(VLOOKUP($B401,テーブル12[],4,FALSE),"")</f>
        <v/>
      </c>
      <c r="H401" s="25" t="str">
        <f t="shared" si="12"/>
        <v/>
      </c>
    </row>
    <row r="402" spans="4:8">
      <c r="D402" s="27" t="str">
        <f>IFERROR(VLOOKUP(A402,テーブル11[],2,FALSE),"")</f>
        <v/>
      </c>
      <c r="E402" s="25" t="str">
        <f>IFERROR(VLOOKUP($B402,テーブル12[],2,FALSE),"")</f>
        <v/>
      </c>
      <c r="F402" s="25" t="str">
        <f>IFERROR(VLOOKUP($B402,テーブル12[],3,FALSE),"")</f>
        <v/>
      </c>
      <c r="G402" s="31" t="str">
        <f>IFERROR(VLOOKUP($B402,テーブル12[],4,FALSE),"")</f>
        <v/>
      </c>
      <c r="H402" s="25" t="str">
        <f t="shared" si="12"/>
        <v/>
      </c>
    </row>
    <row r="403" spans="4:8">
      <c r="D403" s="27" t="str">
        <f>IFERROR(VLOOKUP(A403,テーブル11[],2,FALSE),"")</f>
        <v/>
      </c>
      <c r="E403" s="25" t="str">
        <f>IFERROR(VLOOKUP($B403,テーブル12[],2,FALSE),"")</f>
        <v/>
      </c>
      <c r="F403" s="25" t="str">
        <f>IFERROR(VLOOKUP($B403,テーブル12[],3,FALSE),"")</f>
        <v/>
      </c>
      <c r="G403" s="31" t="str">
        <f>IFERROR(VLOOKUP($B403,テーブル12[],4,FALSE),"")</f>
        <v/>
      </c>
      <c r="H403" s="25" t="str">
        <f t="shared" si="12"/>
        <v/>
      </c>
    </row>
    <row r="404" spans="4:8">
      <c r="D404" s="27" t="str">
        <f>IFERROR(VLOOKUP(A404,テーブル11[],2,FALSE),"")</f>
        <v/>
      </c>
      <c r="E404" s="25" t="str">
        <f>IFERROR(VLOOKUP($B404,テーブル12[],2,FALSE),"")</f>
        <v/>
      </c>
      <c r="F404" s="25" t="str">
        <f>IFERROR(VLOOKUP($B404,テーブル12[],3,FALSE),"")</f>
        <v/>
      </c>
      <c r="G404" s="31" t="str">
        <f>IFERROR(VLOOKUP($B404,テーブル12[],4,FALSE),"")</f>
        <v/>
      </c>
      <c r="H404" s="25" t="str">
        <f t="shared" si="12"/>
        <v/>
      </c>
    </row>
    <row r="405" spans="4:8">
      <c r="D405" s="27" t="str">
        <f>IFERROR(VLOOKUP(A405,テーブル11[],2,FALSE),"")</f>
        <v/>
      </c>
      <c r="E405" s="25" t="str">
        <f>IFERROR(VLOOKUP($B405,テーブル12[],2,FALSE),"")</f>
        <v/>
      </c>
      <c r="F405" s="25" t="str">
        <f>IFERROR(VLOOKUP($B405,テーブル12[],3,FALSE),"")</f>
        <v/>
      </c>
      <c r="G405" s="31" t="str">
        <f>IFERROR(VLOOKUP($B405,テーブル12[],4,FALSE),"")</f>
        <v/>
      </c>
      <c r="H405" s="25" t="str">
        <f t="shared" si="12"/>
        <v/>
      </c>
    </row>
    <row r="406" spans="4:8">
      <c r="D406" s="27" t="str">
        <f>IFERROR(VLOOKUP(A406,テーブル11[],2,FALSE),"")</f>
        <v/>
      </c>
      <c r="E406" s="25" t="str">
        <f>IFERROR(VLOOKUP($B406,テーブル12[],2,FALSE),"")</f>
        <v/>
      </c>
      <c r="F406" s="25" t="str">
        <f>IFERROR(VLOOKUP($B406,テーブル12[],3,FALSE),"")</f>
        <v/>
      </c>
      <c r="G406" s="31" t="str">
        <f>IFERROR(VLOOKUP($B406,テーブル12[],4,FALSE),"")</f>
        <v/>
      </c>
      <c r="H406" s="25" t="str">
        <f t="shared" si="12"/>
        <v/>
      </c>
    </row>
    <row r="407" spans="4:8">
      <c r="D407" s="27" t="str">
        <f>IFERROR(VLOOKUP(A407,テーブル11[],2,FALSE),"")</f>
        <v/>
      </c>
      <c r="E407" s="25" t="str">
        <f>IFERROR(VLOOKUP($B407,テーブル12[],2,FALSE),"")</f>
        <v/>
      </c>
      <c r="F407" s="25" t="str">
        <f>IFERROR(VLOOKUP($B407,テーブル12[],3,FALSE),"")</f>
        <v/>
      </c>
      <c r="G407" s="31" t="str">
        <f>IFERROR(VLOOKUP($B407,テーブル12[],4,FALSE),"")</f>
        <v/>
      </c>
      <c r="H407" s="25" t="str">
        <f t="shared" si="12"/>
        <v/>
      </c>
    </row>
    <row r="408" spans="4:8">
      <c r="D408" s="27" t="str">
        <f>IFERROR(VLOOKUP(A408,テーブル11[],2,FALSE),"")</f>
        <v/>
      </c>
      <c r="E408" s="25" t="str">
        <f>IFERROR(VLOOKUP($B408,テーブル12[],2,FALSE),"")</f>
        <v/>
      </c>
      <c r="F408" s="25" t="str">
        <f>IFERROR(VLOOKUP($B408,テーブル12[],3,FALSE),"")</f>
        <v/>
      </c>
      <c r="G408" s="31" t="str">
        <f>IFERROR(VLOOKUP($B408,テーブル12[],4,FALSE),"")</f>
        <v/>
      </c>
      <c r="H408" s="25" t="str">
        <f t="shared" si="12"/>
        <v/>
      </c>
    </row>
    <row r="409" spans="4:8">
      <c r="D409" s="27" t="str">
        <f>IFERROR(VLOOKUP(A409,テーブル11[],2,FALSE),"")</f>
        <v/>
      </c>
      <c r="E409" s="25" t="str">
        <f>IFERROR(VLOOKUP($B409,テーブル12[],2,FALSE),"")</f>
        <v/>
      </c>
      <c r="F409" s="25" t="str">
        <f>IFERROR(VLOOKUP($B409,テーブル12[],3,FALSE),"")</f>
        <v/>
      </c>
      <c r="G409" s="31" t="str">
        <f>IFERROR(VLOOKUP($B409,テーブル12[],4,FALSE),"")</f>
        <v/>
      </c>
      <c r="H409" s="25" t="str">
        <f t="shared" si="12"/>
        <v/>
      </c>
    </row>
    <row r="410" spans="4:8">
      <c r="D410" s="27" t="str">
        <f>IFERROR(VLOOKUP(A410,テーブル11[],2,FALSE),"")</f>
        <v/>
      </c>
      <c r="E410" s="25" t="str">
        <f>IFERROR(VLOOKUP($B410,テーブル12[],2,FALSE),"")</f>
        <v/>
      </c>
      <c r="F410" s="25" t="str">
        <f>IFERROR(VLOOKUP($B410,テーブル12[],3,FALSE),"")</f>
        <v/>
      </c>
      <c r="G410" s="31" t="str">
        <f>IFERROR(VLOOKUP($B410,テーブル12[],4,FALSE),"")</f>
        <v/>
      </c>
      <c r="H410" s="25" t="str">
        <f t="shared" si="12"/>
        <v/>
      </c>
    </row>
    <row r="411" spans="4:8">
      <c r="D411" s="27" t="str">
        <f>IFERROR(VLOOKUP(A411,テーブル11[],2,FALSE),"")</f>
        <v/>
      </c>
      <c r="E411" s="25" t="str">
        <f>IFERROR(VLOOKUP($B411,テーブル12[],2,FALSE),"")</f>
        <v/>
      </c>
      <c r="F411" s="25" t="str">
        <f>IFERROR(VLOOKUP($B411,テーブル12[],3,FALSE),"")</f>
        <v/>
      </c>
      <c r="G411" s="31" t="str">
        <f>IFERROR(VLOOKUP($B411,テーブル12[],4,FALSE),"")</f>
        <v/>
      </c>
      <c r="H411" s="25" t="str">
        <f t="shared" si="12"/>
        <v/>
      </c>
    </row>
    <row r="412" spans="4:8">
      <c r="D412" s="27" t="str">
        <f>IFERROR(VLOOKUP(A412,テーブル11[],2,FALSE),"")</f>
        <v/>
      </c>
      <c r="E412" s="25" t="str">
        <f>IFERROR(VLOOKUP($B412,テーブル12[],2,FALSE),"")</f>
        <v/>
      </c>
      <c r="F412" s="25" t="str">
        <f>IFERROR(VLOOKUP($B412,テーブル12[],3,FALSE),"")</f>
        <v/>
      </c>
      <c r="G412" s="31" t="str">
        <f>IFERROR(VLOOKUP($B412,テーブル12[],4,FALSE),"")</f>
        <v/>
      </c>
      <c r="H412" s="25" t="str">
        <f t="shared" si="12"/>
        <v/>
      </c>
    </row>
    <row r="413" spans="4:8">
      <c r="D413" s="27" t="str">
        <f>IFERROR(VLOOKUP(A413,テーブル11[],2,FALSE),"")</f>
        <v/>
      </c>
      <c r="E413" s="25" t="str">
        <f>IFERROR(VLOOKUP($B413,テーブル12[],2,FALSE),"")</f>
        <v/>
      </c>
      <c r="F413" s="25" t="str">
        <f>IFERROR(VLOOKUP($B413,テーブル12[],3,FALSE),"")</f>
        <v/>
      </c>
      <c r="G413" s="31" t="str">
        <f>IFERROR(VLOOKUP($B413,テーブル12[],4,FALSE),"")</f>
        <v/>
      </c>
      <c r="H413" s="25" t="str">
        <f t="shared" si="12"/>
        <v/>
      </c>
    </row>
    <row r="414" spans="4:8">
      <c r="D414" s="27" t="str">
        <f>IFERROR(VLOOKUP(A414,テーブル11[],2,FALSE),"")</f>
        <v/>
      </c>
      <c r="E414" s="25" t="str">
        <f>IFERROR(VLOOKUP($B414,テーブル12[],2,FALSE),"")</f>
        <v/>
      </c>
      <c r="F414" s="25" t="str">
        <f>IFERROR(VLOOKUP($B414,テーブル12[],3,FALSE),"")</f>
        <v/>
      </c>
      <c r="G414" s="31" t="str">
        <f>IFERROR(VLOOKUP($B414,テーブル12[],4,FALSE),"")</f>
        <v/>
      </c>
      <c r="H414" s="25" t="str">
        <f t="shared" si="12"/>
        <v/>
      </c>
    </row>
    <row r="415" spans="4:8">
      <c r="D415" s="27" t="str">
        <f>IFERROR(VLOOKUP(A415,テーブル11[],2,FALSE),"")</f>
        <v/>
      </c>
      <c r="E415" s="25" t="str">
        <f>IFERROR(VLOOKUP($B415,テーブル12[],2,FALSE),"")</f>
        <v/>
      </c>
      <c r="F415" s="25" t="str">
        <f>IFERROR(VLOOKUP($B415,テーブル12[],3,FALSE),"")</f>
        <v/>
      </c>
      <c r="G415" s="31" t="str">
        <f>IFERROR(VLOOKUP($B415,テーブル12[],4,FALSE),"")</f>
        <v/>
      </c>
      <c r="H415" s="25" t="str">
        <f t="shared" si="12"/>
        <v/>
      </c>
    </row>
    <row r="416" spans="4:8">
      <c r="D416" s="27" t="str">
        <f>IFERROR(VLOOKUP(A416,テーブル11[],2,FALSE),"")</f>
        <v/>
      </c>
      <c r="E416" s="25" t="str">
        <f>IFERROR(VLOOKUP($B416,テーブル12[],2,FALSE),"")</f>
        <v/>
      </c>
      <c r="F416" s="25" t="str">
        <f>IFERROR(VLOOKUP($B416,テーブル12[],3,FALSE),"")</f>
        <v/>
      </c>
      <c r="G416" s="31" t="str">
        <f>IFERROR(VLOOKUP($B416,テーブル12[],4,FALSE),"")</f>
        <v/>
      </c>
      <c r="H416" s="25" t="str">
        <f t="shared" si="12"/>
        <v/>
      </c>
    </row>
    <row r="417" spans="4:8">
      <c r="D417" s="27" t="str">
        <f>IFERROR(VLOOKUP(A417,テーブル11[],2,FALSE),"")</f>
        <v/>
      </c>
      <c r="E417" s="25" t="str">
        <f>IFERROR(VLOOKUP($B417,テーブル12[],2,FALSE),"")</f>
        <v/>
      </c>
      <c r="F417" s="25" t="str">
        <f>IFERROR(VLOOKUP($B417,テーブル12[],3,FALSE),"")</f>
        <v/>
      </c>
      <c r="G417" s="31" t="str">
        <f>IFERROR(VLOOKUP($B417,テーブル12[],4,FALSE),"")</f>
        <v/>
      </c>
      <c r="H417" s="25" t="str">
        <f t="shared" si="12"/>
        <v/>
      </c>
    </row>
    <row r="418" spans="4:8">
      <c r="D418" s="27" t="str">
        <f>IFERROR(VLOOKUP(A418,テーブル11[],2,FALSE),"")</f>
        <v/>
      </c>
      <c r="E418" s="25" t="str">
        <f>IFERROR(VLOOKUP($B418,テーブル12[],2,FALSE),"")</f>
        <v/>
      </c>
      <c r="F418" s="25" t="str">
        <f>IFERROR(VLOOKUP($B418,テーブル12[],3,FALSE),"")</f>
        <v/>
      </c>
      <c r="G418" s="31" t="str">
        <f>IFERROR(VLOOKUP($B418,テーブル12[],4,FALSE),"")</f>
        <v/>
      </c>
      <c r="H418" s="25" t="str">
        <f t="shared" si="12"/>
        <v/>
      </c>
    </row>
    <row r="419" spans="4:8">
      <c r="D419" s="27" t="str">
        <f>IFERROR(VLOOKUP(A419,テーブル11[],2,FALSE),"")</f>
        <v/>
      </c>
      <c r="E419" s="25" t="str">
        <f>IFERROR(VLOOKUP($B419,テーブル12[],2,FALSE),"")</f>
        <v/>
      </c>
      <c r="F419" s="25" t="str">
        <f>IFERROR(VLOOKUP($B419,テーブル12[],3,FALSE),"")</f>
        <v/>
      </c>
      <c r="G419" s="31" t="str">
        <f>IFERROR(VLOOKUP($B419,テーブル12[],4,FALSE),"")</f>
        <v/>
      </c>
      <c r="H419" s="25" t="str">
        <f t="shared" si="12"/>
        <v/>
      </c>
    </row>
    <row r="420" spans="4:8">
      <c r="D420" s="27" t="str">
        <f>IFERROR(VLOOKUP(A420,テーブル11[],2,FALSE),"")</f>
        <v/>
      </c>
      <c r="E420" s="25" t="str">
        <f>IFERROR(VLOOKUP($B420,テーブル12[],2,FALSE),"")</f>
        <v/>
      </c>
      <c r="F420" s="25" t="str">
        <f>IFERROR(VLOOKUP($B420,テーブル12[],3,FALSE),"")</f>
        <v/>
      </c>
      <c r="G420" s="31" t="str">
        <f>IFERROR(VLOOKUP($B420,テーブル12[],4,FALSE),"")</f>
        <v/>
      </c>
      <c r="H420" s="25" t="str">
        <f t="shared" si="12"/>
        <v/>
      </c>
    </row>
    <row r="421" spans="4:8">
      <c r="D421" s="27" t="str">
        <f>IFERROR(VLOOKUP(A421,テーブル11[],2,FALSE),"")</f>
        <v/>
      </c>
      <c r="E421" s="25" t="str">
        <f>IFERROR(VLOOKUP($B421,テーブル12[],2,FALSE),"")</f>
        <v/>
      </c>
      <c r="F421" s="25" t="str">
        <f>IFERROR(VLOOKUP($B421,テーブル12[],3,FALSE),"")</f>
        <v/>
      </c>
      <c r="G421" s="31" t="str">
        <f>IFERROR(VLOOKUP($B421,テーブル12[],4,FALSE),"")</f>
        <v/>
      </c>
      <c r="H421" s="25" t="str">
        <f t="shared" si="12"/>
        <v/>
      </c>
    </row>
    <row r="422" spans="4:8">
      <c r="D422" s="27" t="str">
        <f>IFERROR(VLOOKUP(A422,テーブル11[],2,FALSE),"")</f>
        <v/>
      </c>
      <c r="E422" s="25" t="str">
        <f>IFERROR(VLOOKUP($B422,テーブル12[],2,FALSE),"")</f>
        <v/>
      </c>
      <c r="F422" s="25" t="str">
        <f>IFERROR(VLOOKUP($B422,テーブル12[],3,FALSE),"")</f>
        <v/>
      </c>
      <c r="G422" s="31" t="str">
        <f>IFERROR(VLOOKUP($B422,テーブル12[],4,FALSE),"")</f>
        <v/>
      </c>
      <c r="H422" s="25" t="str">
        <f t="shared" si="12"/>
        <v/>
      </c>
    </row>
    <row r="423" spans="4:8">
      <c r="D423" s="27" t="str">
        <f>IFERROR(VLOOKUP(A423,テーブル11[],2,FALSE),"")</f>
        <v/>
      </c>
      <c r="E423" s="25" t="str">
        <f>IFERROR(VLOOKUP($B423,テーブル12[],2,FALSE),"")</f>
        <v/>
      </c>
      <c r="F423" s="25" t="str">
        <f>IFERROR(VLOOKUP($B423,テーブル12[],3,FALSE),"")</f>
        <v/>
      </c>
      <c r="G423" s="31" t="str">
        <f>IFERROR(VLOOKUP($B423,テーブル12[],4,FALSE),"")</f>
        <v/>
      </c>
      <c r="H423" s="25" t="str">
        <f t="shared" si="12"/>
        <v/>
      </c>
    </row>
    <row r="424" spans="4:8">
      <c r="D424" s="27" t="str">
        <f>IFERROR(VLOOKUP(A424,テーブル11[],2,FALSE),"")</f>
        <v/>
      </c>
      <c r="E424" s="25" t="str">
        <f>IFERROR(VLOOKUP($B424,テーブル12[],2,FALSE),"")</f>
        <v/>
      </c>
      <c r="F424" s="25" t="str">
        <f>IFERROR(VLOOKUP($B424,テーブル12[],3,FALSE),"")</f>
        <v/>
      </c>
      <c r="G424" s="31" t="str">
        <f>IFERROR(VLOOKUP($B424,テーブル12[],4,FALSE),"")</f>
        <v/>
      </c>
      <c r="H424" s="25" t="str">
        <f t="shared" si="12"/>
        <v/>
      </c>
    </row>
    <row r="425" spans="4:8">
      <c r="D425" s="27" t="str">
        <f>IFERROR(VLOOKUP(A425,テーブル11[],2,FALSE),"")</f>
        <v/>
      </c>
      <c r="E425" s="25" t="str">
        <f>IFERROR(VLOOKUP($B425,テーブル12[],2,FALSE),"")</f>
        <v/>
      </c>
      <c r="F425" s="25" t="str">
        <f>IFERROR(VLOOKUP($B425,テーブル12[],3,FALSE),"")</f>
        <v/>
      </c>
      <c r="G425" s="31" t="str">
        <f>IFERROR(VLOOKUP($B425,テーブル12[],4,FALSE),"")</f>
        <v/>
      </c>
      <c r="H425" s="25" t="str">
        <f t="shared" si="12"/>
        <v/>
      </c>
    </row>
    <row r="426" spans="4:8">
      <c r="D426" s="27" t="str">
        <f>IFERROR(VLOOKUP(A426,テーブル11[],2,FALSE),"")</f>
        <v/>
      </c>
      <c r="E426" s="25" t="str">
        <f>IFERROR(VLOOKUP($B426,テーブル12[],2,FALSE),"")</f>
        <v/>
      </c>
      <c r="F426" s="25" t="str">
        <f>IFERROR(VLOOKUP($B426,テーブル12[],3,FALSE),"")</f>
        <v/>
      </c>
      <c r="G426" s="31" t="str">
        <f>IFERROR(VLOOKUP($B426,テーブル12[],4,FALSE),"")</f>
        <v/>
      </c>
      <c r="H426" s="25" t="str">
        <f t="shared" si="12"/>
        <v/>
      </c>
    </row>
    <row r="427" spans="4:8">
      <c r="D427" s="27" t="str">
        <f>IFERROR(VLOOKUP(A427,テーブル11[],2,FALSE),"")</f>
        <v/>
      </c>
      <c r="E427" s="25" t="str">
        <f>IFERROR(VLOOKUP($B427,テーブル12[],2,FALSE),"")</f>
        <v/>
      </c>
      <c r="F427" s="25" t="str">
        <f>IFERROR(VLOOKUP($B427,テーブル12[],3,FALSE),"")</f>
        <v/>
      </c>
      <c r="G427" s="31" t="str">
        <f>IFERROR(VLOOKUP($B427,テーブル12[],4,FALSE),"")</f>
        <v/>
      </c>
      <c r="H427" s="25" t="str">
        <f t="shared" si="12"/>
        <v/>
      </c>
    </row>
    <row r="428" spans="4:8">
      <c r="D428" s="27" t="str">
        <f>IFERROR(VLOOKUP(A428,テーブル11[],2,FALSE),"")</f>
        <v/>
      </c>
      <c r="E428" s="25" t="str">
        <f>IFERROR(VLOOKUP($B428,テーブル12[],2,FALSE),"")</f>
        <v/>
      </c>
      <c r="F428" s="25" t="str">
        <f>IFERROR(VLOOKUP($B428,テーブル12[],3,FALSE),"")</f>
        <v/>
      </c>
      <c r="G428" s="31" t="str">
        <f>IFERROR(VLOOKUP($B428,テーブル12[],4,FALSE),"")</f>
        <v/>
      </c>
      <c r="H428" s="25" t="str">
        <f t="shared" si="12"/>
        <v/>
      </c>
    </row>
    <row r="429" spans="4:8">
      <c r="D429" s="27" t="str">
        <f>IFERROR(VLOOKUP(A429,テーブル11[],2,FALSE),"")</f>
        <v/>
      </c>
      <c r="E429" s="25" t="str">
        <f>IFERROR(VLOOKUP($B429,テーブル12[],2,FALSE),"")</f>
        <v/>
      </c>
      <c r="F429" s="25" t="str">
        <f>IFERROR(VLOOKUP($B429,テーブル12[],3,FALSE),"")</f>
        <v/>
      </c>
      <c r="G429" s="31" t="str">
        <f>IFERROR(VLOOKUP($B429,テーブル12[],4,FALSE),"")</f>
        <v/>
      </c>
      <c r="H429" s="25" t="str">
        <f t="shared" si="12"/>
        <v/>
      </c>
    </row>
    <row r="430" spans="4:8">
      <c r="D430" s="27" t="str">
        <f>IFERROR(VLOOKUP(A430,テーブル11[],2,FALSE),"")</f>
        <v/>
      </c>
      <c r="E430" s="25" t="str">
        <f>IFERROR(VLOOKUP($B430,テーブル12[],2,FALSE),"")</f>
        <v/>
      </c>
      <c r="F430" s="25" t="str">
        <f>IFERROR(VLOOKUP($B430,テーブル12[],3,FALSE),"")</f>
        <v/>
      </c>
      <c r="G430" s="31" t="str">
        <f>IFERROR(VLOOKUP($B430,テーブル12[],4,FALSE),"")</f>
        <v/>
      </c>
      <c r="H430" s="25" t="str">
        <f t="shared" si="12"/>
        <v/>
      </c>
    </row>
    <row r="431" spans="4:8">
      <c r="D431" s="27" t="str">
        <f>IFERROR(VLOOKUP(A431,テーブル11[],2,FALSE),"")</f>
        <v/>
      </c>
      <c r="E431" s="25" t="str">
        <f>IFERROR(VLOOKUP($B431,テーブル12[],2,FALSE),"")</f>
        <v/>
      </c>
      <c r="F431" s="25" t="str">
        <f>IFERROR(VLOOKUP($B431,テーブル12[],3,FALSE),"")</f>
        <v/>
      </c>
      <c r="G431" s="31" t="str">
        <f>IFERROR(VLOOKUP($B431,テーブル12[],4,FALSE),"")</f>
        <v/>
      </c>
      <c r="H431" s="25" t="str">
        <f t="shared" si="12"/>
        <v/>
      </c>
    </row>
    <row r="432" spans="4:8">
      <c r="D432" s="27" t="str">
        <f>IFERROR(VLOOKUP(A432,テーブル11[],2,FALSE),"")</f>
        <v/>
      </c>
      <c r="E432" s="25" t="str">
        <f>IFERROR(VLOOKUP($B432,テーブル12[],2,FALSE),"")</f>
        <v/>
      </c>
      <c r="F432" s="25" t="str">
        <f>IFERROR(VLOOKUP($B432,テーブル12[],3,FALSE),"")</f>
        <v/>
      </c>
      <c r="G432" s="31" t="str">
        <f>IFERROR(VLOOKUP($B432,テーブル12[],4,FALSE),"")</f>
        <v/>
      </c>
      <c r="H432" s="25" t="str">
        <f t="shared" si="12"/>
        <v/>
      </c>
    </row>
    <row r="433" spans="4:8">
      <c r="D433" s="27" t="str">
        <f>IFERROR(VLOOKUP(A433,テーブル11[],2,FALSE),"")</f>
        <v/>
      </c>
      <c r="E433" s="25" t="str">
        <f>IFERROR(VLOOKUP($B433,テーブル12[],2,FALSE),"")</f>
        <v/>
      </c>
      <c r="F433" s="25" t="str">
        <f>IFERROR(VLOOKUP($B433,テーブル12[],3,FALSE),"")</f>
        <v/>
      </c>
      <c r="G433" s="31" t="str">
        <f>IFERROR(VLOOKUP($B433,テーブル12[],4,FALSE),"")</f>
        <v/>
      </c>
      <c r="H433" s="25" t="str">
        <f t="shared" si="12"/>
        <v/>
      </c>
    </row>
    <row r="434" spans="4:8">
      <c r="D434" s="27" t="str">
        <f>IFERROR(VLOOKUP(A434,テーブル11[],2,FALSE),"")</f>
        <v/>
      </c>
      <c r="E434" s="25" t="str">
        <f>IFERROR(VLOOKUP($B434,テーブル12[],2,FALSE),"")</f>
        <v/>
      </c>
      <c r="F434" s="25" t="str">
        <f>IFERROR(VLOOKUP($B434,テーブル12[],3,FALSE),"")</f>
        <v/>
      </c>
      <c r="G434" s="31" t="str">
        <f>IFERROR(VLOOKUP($B434,テーブル12[],4,FALSE),"")</f>
        <v/>
      </c>
      <c r="H434" s="25" t="str">
        <f t="shared" si="12"/>
        <v/>
      </c>
    </row>
    <row r="435" spans="4:8">
      <c r="D435" s="27" t="str">
        <f>IFERROR(VLOOKUP(A435,テーブル11[],2,FALSE),"")</f>
        <v/>
      </c>
      <c r="E435" s="25" t="str">
        <f>IFERROR(VLOOKUP($B435,テーブル12[],2,FALSE),"")</f>
        <v/>
      </c>
      <c r="F435" s="25" t="str">
        <f>IFERROR(VLOOKUP($B435,テーブル12[],3,FALSE),"")</f>
        <v/>
      </c>
      <c r="G435" s="31" t="str">
        <f>IFERROR(VLOOKUP($B435,テーブル12[],4,FALSE),"")</f>
        <v/>
      </c>
      <c r="H435" s="25" t="str">
        <f t="shared" si="12"/>
        <v/>
      </c>
    </row>
    <row r="436" spans="4:8">
      <c r="D436" s="27" t="str">
        <f>IFERROR(VLOOKUP(A436,テーブル11[],2,FALSE),"")</f>
        <v/>
      </c>
      <c r="E436" s="25" t="str">
        <f>IFERROR(VLOOKUP($B436,テーブル12[],2,FALSE),"")</f>
        <v/>
      </c>
      <c r="F436" s="25" t="str">
        <f>IFERROR(VLOOKUP($B436,テーブル12[],3,FALSE),"")</f>
        <v/>
      </c>
      <c r="G436" s="31" t="str">
        <f>IFERROR(VLOOKUP($B436,テーブル12[],4,FALSE),"")</f>
        <v/>
      </c>
      <c r="H436" s="25" t="str">
        <f t="shared" si="12"/>
        <v/>
      </c>
    </row>
    <row r="437" spans="4:8">
      <c r="D437" s="27" t="str">
        <f>IFERROR(VLOOKUP(A437,テーブル11[],2,FALSE),"")</f>
        <v/>
      </c>
      <c r="E437" s="25" t="str">
        <f>IFERROR(VLOOKUP($B437,テーブル12[],2,FALSE),"")</f>
        <v/>
      </c>
      <c r="F437" s="25" t="str">
        <f>IFERROR(VLOOKUP($B437,テーブル12[],3,FALSE),"")</f>
        <v/>
      </c>
      <c r="G437" s="31" t="str">
        <f>IFERROR(VLOOKUP($B437,テーブル12[],4,FALSE),"")</f>
        <v/>
      </c>
      <c r="H437" s="25" t="str">
        <f t="shared" si="12"/>
        <v/>
      </c>
    </row>
    <row r="438" spans="4:8">
      <c r="D438" s="27" t="str">
        <f>IFERROR(VLOOKUP(A438,テーブル11[],2,FALSE),"")</f>
        <v/>
      </c>
      <c r="E438" s="25" t="str">
        <f>IFERROR(VLOOKUP($B438,テーブル12[],2,FALSE),"")</f>
        <v/>
      </c>
      <c r="F438" s="25" t="str">
        <f>IFERROR(VLOOKUP($B438,テーブル12[],3,FALSE),"")</f>
        <v/>
      </c>
      <c r="G438" s="31" t="str">
        <f>IFERROR(VLOOKUP($B438,テーブル12[],4,FALSE),"")</f>
        <v/>
      </c>
      <c r="H438" s="25" t="str">
        <f t="shared" si="12"/>
        <v/>
      </c>
    </row>
    <row r="439" spans="4:8">
      <c r="D439" s="27" t="str">
        <f>IFERROR(VLOOKUP(A439,テーブル11[],2,FALSE),"")</f>
        <v/>
      </c>
      <c r="E439" s="25" t="str">
        <f>IFERROR(VLOOKUP($B439,テーブル12[],2,FALSE),"")</f>
        <v/>
      </c>
      <c r="F439" s="25" t="str">
        <f>IFERROR(VLOOKUP($B439,テーブル12[],3,FALSE),"")</f>
        <v/>
      </c>
      <c r="G439" s="31" t="str">
        <f>IFERROR(VLOOKUP($B439,テーブル12[],4,FALSE),"")</f>
        <v/>
      </c>
      <c r="H439" s="25" t="str">
        <f t="shared" si="12"/>
        <v/>
      </c>
    </row>
    <row r="440" spans="4:8">
      <c r="D440" s="27" t="str">
        <f>IFERROR(VLOOKUP(A440,テーブル11[],2,FALSE),"")</f>
        <v/>
      </c>
      <c r="E440" s="25" t="str">
        <f>IFERROR(VLOOKUP($B440,テーブル12[],2,FALSE),"")</f>
        <v/>
      </c>
      <c r="F440" s="25" t="str">
        <f>IFERROR(VLOOKUP($B440,テーブル12[],3,FALSE),"")</f>
        <v/>
      </c>
      <c r="G440" s="31" t="str">
        <f>IFERROR(VLOOKUP($B440,テーブル12[],4,FALSE),"")</f>
        <v/>
      </c>
      <c r="H440" s="25" t="str">
        <f t="shared" si="12"/>
        <v/>
      </c>
    </row>
    <row r="441" spans="4:8">
      <c r="D441" s="27" t="str">
        <f>IFERROR(VLOOKUP(A441,テーブル11[],2,FALSE),"")</f>
        <v/>
      </c>
      <c r="E441" s="25" t="str">
        <f>IFERROR(VLOOKUP($B441,テーブル12[],2,FALSE),"")</f>
        <v/>
      </c>
      <c r="F441" s="25" t="str">
        <f>IFERROR(VLOOKUP($B441,テーブル12[],3,FALSE),"")</f>
        <v/>
      </c>
      <c r="G441" s="31" t="str">
        <f>IFERROR(VLOOKUP($B441,テーブル12[],4,FALSE),"")</f>
        <v/>
      </c>
      <c r="H441" s="25" t="str">
        <f t="shared" si="12"/>
        <v/>
      </c>
    </row>
    <row r="442" spans="4:8">
      <c r="D442" s="27" t="str">
        <f>IFERROR(VLOOKUP(A442,テーブル11[],2,FALSE),"")</f>
        <v/>
      </c>
      <c r="E442" s="25" t="str">
        <f>IFERROR(VLOOKUP($B442,テーブル12[],2,FALSE),"")</f>
        <v/>
      </c>
      <c r="F442" s="25" t="str">
        <f>IFERROR(VLOOKUP($B442,テーブル12[],3,FALSE),"")</f>
        <v/>
      </c>
      <c r="G442" s="31" t="str">
        <f>IFERROR(VLOOKUP($B442,テーブル12[],4,FALSE),"")</f>
        <v/>
      </c>
      <c r="H442" s="25" t="str">
        <f t="shared" si="12"/>
        <v/>
      </c>
    </row>
    <row r="443" spans="4:8">
      <c r="D443" s="27" t="str">
        <f>IFERROR(VLOOKUP(A443,テーブル11[],2,FALSE),"")</f>
        <v/>
      </c>
      <c r="E443" s="25" t="str">
        <f>IFERROR(VLOOKUP($B443,テーブル12[],2,FALSE),"")</f>
        <v/>
      </c>
      <c r="F443" s="25" t="str">
        <f>IFERROR(VLOOKUP($B443,テーブル12[],3,FALSE),"")</f>
        <v/>
      </c>
      <c r="G443" s="31" t="str">
        <f>IFERROR(VLOOKUP($B443,テーブル12[],4,FALSE),"")</f>
        <v/>
      </c>
      <c r="H443" s="25" t="str">
        <f t="shared" si="12"/>
        <v/>
      </c>
    </row>
    <row r="444" spans="4:8">
      <c r="D444" s="27" t="str">
        <f>IFERROR(VLOOKUP(A444,テーブル11[],2,FALSE),"")</f>
        <v/>
      </c>
      <c r="E444" s="25" t="str">
        <f>IFERROR(VLOOKUP($B444,テーブル12[],2,FALSE),"")</f>
        <v/>
      </c>
      <c r="F444" s="25" t="str">
        <f>IFERROR(VLOOKUP($B444,テーブル12[],3,FALSE),"")</f>
        <v/>
      </c>
      <c r="G444" s="31" t="str">
        <f>IFERROR(VLOOKUP($B444,テーブル12[],4,FALSE),"")</f>
        <v/>
      </c>
      <c r="H444" s="25" t="str">
        <f t="shared" si="12"/>
        <v/>
      </c>
    </row>
    <row r="445" spans="4:8">
      <c r="D445" s="27" t="str">
        <f>IFERROR(VLOOKUP(A445,テーブル11[],2,FALSE),"")</f>
        <v/>
      </c>
      <c r="E445" s="25" t="str">
        <f>IFERROR(VLOOKUP($B445,テーブル12[],2,FALSE),"")</f>
        <v/>
      </c>
      <c r="F445" s="25" t="str">
        <f>IFERROR(VLOOKUP($B445,テーブル12[],3,FALSE),"")</f>
        <v/>
      </c>
      <c r="G445" s="31" t="str">
        <f>IFERROR(VLOOKUP($B445,テーブル12[],4,FALSE),"")</f>
        <v/>
      </c>
      <c r="H445" s="25" t="str">
        <f t="shared" si="12"/>
        <v/>
      </c>
    </row>
    <row r="446" spans="4:8">
      <c r="D446" s="27" t="str">
        <f>IFERROR(VLOOKUP(A446,テーブル11[],2,FALSE),"")</f>
        <v/>
      </c>
      <c r="E446" s="25" t="str">
        <f>IFERROR(VLOOKUP($B446,テーブル12[],2,FALSE),"")</f>
        <v/>
      </c>
      <c r="F446" s="25" t="str">
        <f>IFERROR(VLOOKUP($B446,テーブル12[],3,FALSE),"")</f>
        <v/>
      </c>
      <c r="G446" s="31" t="str">
        <f>IFERROR(VLOOKUP($B446,テーブル12[],4,FALSE),"")</f>
        <v/>
      </c>
      <c r="H446" s="25" t="str">
        <f t="shared" si="12"/>
        <v/>
      </c>
    </row>
    <row r="447" spans="4:8">
      <c r="D447" s="27" t="str">
        <f>IFERROR(VLOOKUP(A447,テーブル11[],2,FALSE),"")</f>
        <v/>
      </c>
      <c r="E447" s="25" t="str">
        <f>IFERROR(VLOOKUP($B447,テーブル12[],2,FALSE),"")</f>
        <v/>
      </c>
      <c r="F447" s="25" t="str">
        <f>IFERROR(VLOOKUP($B447,テーブル12[],3,FALSE),"")</f>
        <v/>
      </c>
      <c r="G447" s="31" t="str">
        <f>IFERROR(VLOOKUP($B447,テーブル12[],4,FALSE),"")</f>
        <v/>
      </c>
      <c r="H447" s="25" t="str">
        <f t="shared" si="12"/>
        <v/>
      </c>
    </row>
    <row r="448" spans="4:8">
      <c r="D448" s="27" t="str">
        <f>IFERROR(VLOOKUP(A448,テーブル11[],2,FALSE),"")</f>
        <v/>
      </c>
      <c r="E448" s="25" t="str">
        <f>IFERROR(VLOOKUP($B448,テーブル12[],2,FALSE),"")</f>
        <v/>
      </c>
      <c r="F448" s="25" t="str">
        <f>IFERROR(VLOOKUP($B448,テーブル12[],3,FALSE),"")</f>
        <v/>
      </c>
      <c r="G448" s="31" t="str">
        <f>IFERROR(VLOOKUP($B448,テーブル12[],4,FALSE),"")</f>
        <v/>
      </c>
      <c r="H448" s="25" t="str">
        <f t="shared" si="12"/>
        <v/>
      </c>
    </row>
    <row r="449" spans="4:8">
      <c r="D449" s="27" t="str">
        <f>IFERROR(VLOOKUP(A449,テーブル11[],2,FALSE),"")</f>
        <v/>
      </c>
      <c r="E449" s="25" t="str">
        <f>IFERROR(VLOOKUP($B449,テーブル12[],2,FALSE),"")</f>
        <v/>
      </c>
      <c r="F449" s="25" t="str">
        <f>IFERROR(VLOOKUP($B449,テーブル12[],3,FALSE),"")</f>
        <v/>
      </c>
      <c r="G449" s="31" t="str">
        <f>IFERROR(VLOOKUP($B449,テーブル12[],4,FALSE),"")</f>
        <v/>
      </c>
      <c r="H449" s="25" t="str">
        <f t="shared" si="12"/>
        <v/>
      </c>
    </row>
    <row r="450" spans="4:8">
      <c r="D450" s="27" t="str">
        <f>IFERROR(VLOOKUP(A450,テーブル11[],2,FALSE),"")</f>
        <v/>
      </c>
      <c r="E450" s="25" t="str">
        <f>IFERROR(VLOOKUP($B450,テーブル12[],2,FALSE),"")</f>
        <v/>
      </c>
      <c r="F450" s="25" t="str">
        <f>IFERROR(VLOOKUP($B450,テーブル12[],3,FALSE),"")</f>
        <v/>
      </c>
      <c r="G450" s="31" t="str">
        <f>IFERROR(VLOOKUP($B450,テーブル12[],4,FALSE),"")</f>
        <v/>
      </c>
      <c r="H450" s="25" t="str">
        <f t="shared" ref="H450:H513" si="13">IF(C450=0,"",C450)</f>
        <v/>
      </c>
    </row>
    <row r="451" spans="4:8">
      <c r="D451" s="27" t="str">
        <f>IFERROR(VLOOKUP(A451,テーブル11[],2,FALSE),"")</f>
        <v/>
      </c>
      <c r="E451" s="25" t="str">
        <f>IFERROR(VLOOKUP($B451,テーブル12[],2,FALSE),"")</f>
        <v/>
      </c>
      <c r="F451" s="25" t="str">
        <f>IFERROR(VLOOKUP($B451,テーブル12[],3,FALSE),"")</f>
        <v/>
      </c>
      <c r="G451" s="31" t="str">
        <f>IFERROR(VLOOKUP($B451,テーブル12[],4,FALSE),"")</f>
        <v/>
      </c>
      <c r="H451" s="25" t="str">
        <f t="shared" si="13"/>
        <v/>
      </c>
    </row>
    <row r="452" spans="4:8">
      <c r="D452" s="27" t="str">
        <f>IFERROR(VLOOKUP(A452,テーブル11[],2,FALSE),"")</f>
        <v/>
      </c>
      <c r="E452" s="25" t="str">
        <f>IFERROR(VLOOKUP($B452,テーブル12[],2,FALSE),"")</f>
        <v/>
      </c>
      <c r="F452" s="25" t="str">
        <f>IFERROR(VLOOKUP($B452,テーブル12[],3,FALSE),"")</f>
        <v/>
      </c>
      <c r="G452" s="31" t="str">
        <f>IFERROR(VLOOKUP($B452,テーブル12[],4,FALSE),"")</f>
        <v/>
      </c>
      <c r="H452" s="25" t="str">
        <f t="shared" si="13"/>
        <v/>
      </c>
    </row>
    <row r="453" spans="4:8">
      <c r="D453" s="27" t="str">
        <f>IFERROR(VLOOKUP(A453,テーブル11[],2,FALSE),"")</f>
        <v/>
      </c>
      <c r="E453" s="25" t="str">
        <f>IFERROR(VLOOKUP($B453,テーブル12[],2,FALSE),"")</f>
        <v/>
      </c>
      <c r="F453" s="25" t="str">
        <f>IFERROR(VLOOKUP($B453,テーブル12[],3,FALSE),"")</f>
        <v/>
      </c>
      <c r="G453" s="31" t="str">
        <f>IFERROR(VLOOKUP($B453,テーブル12[],4,FALSE),"")</f>
        <v/>
      </c>
      <c r="H453" s="25" t="str">
        <f t="shared" si="13"/>
        <v/>
      </c>
    </row>
    <row r="454" spans="4:8">
      <c r="D454" s="27" t="str">
        <f>IFERROR(VLOOKUP(A454,テーブル11[],2,FALSE),"")</f>
        <v/>
      </c>
      <c r="E454" s="25" t="str">
        <f>IFERROR(VLOOKUP($B454,テーブル12[],2,FALSE),"")</f>
        <v/>
      </c>
      <c r="F454" s="25" t="str">
        <f>IFERROR(VLOOKUP($B454,テーブル12[],3,FALSE),"")</f>
        <v/>
      </c>
      <c r="G454" s="31" t="str">
        <f>IFERROR(VLOOKUP($B454,テーブル12[],4,FALSE),"")</f>
        <v/>
      </c>
      <c r="H454" s="25" t="str">
        <f t="shared" si="13"/>
        <v/>
      </c>
    </row>
    <row r="455" spans="4:8">
      <c r="D455" s="27" t="str">
        <f>IFERROR(VLOOKUP(A455,テーブル11[],2,FALSE),"")</f>
        <v/>
      </c>
      <c r="E455" s="25" t="str">
        <f>IFERROR(VLOOKUP($B455,テーブル12[],2,FALSE),"")</f>
        <v/>
      </c>
      <c r="F455" s="25" t="str">
        <f>IFERROR(VLOOKUP($B455,テーブル12[],3,FALSE),"")</f>
        <v/>
      </c>
      <c r="G455" s="31" t="str">
        <f>IFERROR(VLOOKUP($B455,テーブル12[],4,FALSE),"")</f>
        <v/>
      </c>
      <c r="H455" s="25" t="str">
        <f t="shared" si="13"/>
        <v/>
      </c>
    </row>
    <row r="456" spans="4:8">
      <c r="D456" s="27" t="str">
        <f>IFERROR(VLOOKUP(A456,テーブル11[],2,FALSE),"")</f>
        <v/>
      </c>
      <c r="E456" s="25" t="str">
        <f>IFERROR(VLOOKUP($B456,テーブル12[],2,FALSE),"")</f>
        <v/>
      </c>
      <c r="F456" s="25" t="str">
        <f>IFERROR(VLOOKUP($B456,テーブル12[],3,FALSE),"")</f>
        <v/>
      </c>
      <c r="G456" s="31" t="str">
        <f>IFERROR(VLOOKUP($B456,テーブル12[],4,FALSE),"")</f>
        <v/>
      </c>
      <c r="H456" s="25" t="str">
        <f t="shared" si="13"/>
        <v/>
      </c>
    </row>
    <row r="457" spans="4:8">
      <c r="D457" s="27" t="str">
        <f>IFERROR(VLOOKUP(A457,テーブル11[],2,FALSE),"")</f>
        <v/>
      </c>
      <c r="E457" s="25" t="str">
        <f>IFERROR(VLOOKUP($B457,テーブル12[],2,FALSE),"")</f>
        <v/>
      </c>
      <c r="F457" s="25" t="str">
        <f>IFERROR(VLOOKUP($B457,テーブル12[],3,FALSE),"")</f>
        <v/>
      </c>
      <c r="G457" s="31" t="str">
        <f>IFERROR(VLOOKUP($B457,テーブル12[],4,FALSE),"")</f>
        <v/>
      </c>
      <c r="H457" s="25" t="str">
        <f t="shared" si="13"/>
        <v/>
      </c>
    </row>
    <row r="458" spans="4:8">
      <c r="D458" s="27" t="str">
        <f>IFERROR(VLOOKUP(A458,テーブル11[],2,FALSE),"")</f>
        <v/>
      </c>
      <c r="E458" s="25" t="str">
        <f>IFERROR(VLOOKUP($B458,テーブル12[],2,FALSE),"")</f>
        <v/>
      </c>
      <c r="F458" s="25" t="str">
        <f>IFERROR(VLOOKUP($B458,テーブル12[],3,FALSE),"")</f>
        <v/>
      </c>
      <c r="G458" s="31" t="str">
        <f>IFERROR(VLOOKUP($B458,テーブル12[],4,FALSE),"")</f>
        <v/>
      </c>
      <c r="H458" s="25" t="str">
        <f t="shared" si="13"/>
        <v/>
      </c>
    </row>
    <row r="459" spans="4:8">
      <c r="D459" s="27" t="str">
        <f>IFERROR(VLOOKUP(A459,テーブル11[],2,FALSE),"")</f>
        <v/>
      </c>
      <c r="E459" s="25" t="str">
        <f>IFERROR(VLOOKUP($B459,テーブル12[],2,FALSE),"")</f>
        <v/>
      </c>
      <c r="F459" s="25" t="str">
        <f>IFERROR(VLOOKUP($B459,テーブル12[],3,FALSE),"")</f>
        <v/>
      </c>
      <c r="G459" s="31" t="str">
        <f>IFERROR(VLOOKUP($B459,テーブル12[],4,FALSE),"")</f>
        <v/>
      </c>
      <c r="H459" s="25" t="str">
        <f t="shared" si="13"/>
        <v/>
      </c>
    </row>
    <row r="460" spans="4:8">
      <c r="D460" s="27" t="str">
        <f>IFERROR(VLOOKUP(A460,テーブル11[],2,FALSE),"")</f>
        <v/>
      </c>
      <c r="E460" s="25" t="str">
        <f>IFERROR(VLOOKUP($B460,テーブル12[],2,FALSE),"")</f>
        <v/>
      </c>
      <c r="F460" s="25" t="str">
        <f>IFERROR(VLOOKUP($B460,テーブル12[],3,FALSE),"")</f>
        <v/>
      </c>
      <c r="G460" s="31" t="str">
        <f>IFERROR(VLOOKUP($B460,テーブル12[],4,FALSE),"")</f>
        <v/>
      </c>
      <c r="H460" s="25" t="str">
        <f t="shared" si="13"/>
        <v/>
      </c>
    </row>
    <row r="461" spans="4:8">
      <c r="D461" s="27" t="str">
        <f>IFERROR(VLOOKUP(A461,テーブル11[],2,FALSE),"")</f>
        <v/>
      </c>
      <c r="E461" s="25" t="str">
        <f>IFERROR(VLOOKUP($B461,テーブル12[],2,FALSE),"")</f>
        <v/>
      </c>
      <c r="F461" s="25" t="str">
        <f>IFERROR(VLOOKUP($B461,テーブル12[],3,FALSE),"")</f>
        <v/>
      </c>
      <c r="G461" s="31" t="str">
        <f>IFERROR(VLOOKUP($B461,テーブル12[],4,FALSE),"")</f>
        <v/>
      </c>
      <c r="H461" s="25" t="str">
        <f t="shared" si="13"/>
        <v/>
      </c>
    </row>
    <row r="462" spans="4:8">
      <c r="D462" s="27" t="str">
        <f>IFERROR(VLOOKUP(A462,テーブル11[],2,FALSE),"")</f>
        <v/>
      </c>
      <c r="E462" s="25" t="str">
        <f>IFERROR(VLOOKUP($B462,テーブル12[],2,FALSE),"")</f>
        <v/>
      </c>
      <c r="F462" s="25" t="str">
        <f>IFERROR(VLOOKUP($B462,テーブル12[],3,FALSE),"")</f>
        <v/>
      </c>
      <c r="G462" s="31" t="str">
        <f>IFERROR(VLOOKUP($B462,テーブル12[],4,FALSE),"")</f>
        <v/>
      </c>
      <c r="H462" s="25" t="str">
        <f t="shared" si="13"/>
        <v/>
      </c>
    </row>
    <row r="463" spans="4:8">
      <c r="D463" s="27" t="str">
        <f>IFERROR(VLOOKUP(A463,テーブル11[],2,FALSE),"")</f>
        <v/>
      </c>
      <c r="E463" s="25" t="str">
        <f>IFERROR(VLOOKUP($B463,テーブル12[],2,FALSE),"")</f>
        <v/>
      </c>
      <c r="F463" s="25" t="str">
        <f>IFERROR(VLOOKUP($B463,テーブル12[],3,FALSE),"")</f>
        <v/>
      </c>
      <c r="G463" s="31" t="str">
        <f>IFERROR(VLOOKUP($B463,テーブル12[],4,FALSE),"")</f>
        <v/>
      </c>
      <c r="H463" s="25" t="str">
        <f t="shared" si="13"/>
        <v/>
      </c>
    </row>
    <row r="464" spans="4:8">
      <c r="D464" s="27" t="str">
        <f>IFERROR(VLOOKUP(A464,テーブル11[],2,FALSE),"")</f>
        <v/>
      </c>
      <c r="E464" s="25" t="str">
        <f>IFERROR(VLOOKUP($B464,テーブル12[],2,FALSE),"")</f>
        <v/>
      </c>
      <c r="F464" s="25" t="str">
        <f>IFERROR(VLOOKUP($B464,テーブル12[],3,FALSE),"")</f>
        <v/>
      </c>
      <c r="G464" s="31" t="str">
        <f>IFERROR(VLOOKUP($B464,テーブル12[],4,FALSE),"")</f>
        <v/>
      </c>
      <c r="H464" s="25" t="str">
        <f t="shared" si="13"/>
        <v/>
      </c>
    </row>
    <row r="465" spans="4:8">
      <c r="D465" s="27" t="str">
        <f>IFERROR(VLOOKUP(A465,テーブル11[],2,FALSE),"")</f>
        <v/>
      </c>
      <c r="E465" s="25" t="str">
        <f>IFERROR(VLOOKUP($B465,テーブル12[],2,FALSE),"")</f>
        <v/>
      </c>
      <c r="F465" s="25" t="str">
        <f>IFERROR(VLOOKUP($B465,テーブル12[],3,FALSE),"")</f>
        <v/>
      </c>
      <c r="G465" s="31" t="str">
        <f>IFERROR(VLOOKUP($B465,テーブル12[],4,FALSE),"")</f>
        <v/>
      </c>
      <c r="H465" s="25" t="str">
        <f t="shared" si="13"/>
        <v/>
      </c>
    </row>
    <row r="466" spans="4:8">
      <c r="D466" s="27" t="str">
        <f>IFERROR(VLOOKUP(A466,テーブル11[],2,FALSE),"")</f>
        <v/>
      </c>
      <c r="E466" s="25" t="str">
        <f>IFERROR(VLOOKUP($B466,テーブル12[],2,FALSE),"")</f>
        <v/>
      </c>
      <c r="F466" s="25" t="str">
        <f>IFERROR(VLOOKUP($B466,テーブル12[],3,FALSE),"")</f>
        <v/>
      </c>
      <c r="G466" s="31" t="str">
        <f>IFERROR(VLOOKUP($B466,テーブル12[],4,FALSE),"")</f>
        <v/>
      </c>
      <c r="H466" s="25" t="str">
        <f t="shared" si="13"/>
        <v/>
      </c>
    </row>
    <row r="467" spans="4:8">
      <c r="D467" s="27" t="str">
        <f>IFERROR(VLOOKUP(A467,テーブル11[],2,FALSE),"")</f>
        <v/>
      </c>
      <c r="E467" s="25" t="str">
        <f>IFERROR(VLOOKUP($B467,テーブル12[],2,FALSE),"")</f>
        <v/>
      </c>
      <c r="F467" s="25" t="str">
        <f>IFERROR(VLOOKUP($B467,テーブル12[],3,FALSE),"")</f>
        <v/>
      </c>
      <c r="G467" s="31" t="str">
        <f>IFERROR(VLOOKUP($B467,テーブル12[],4,FALSE),"")</f>
        <v/>
      </c>
      <c r="H467" s="25" t="str">
        <f t="shared" si="13"/>
        <v/>
      </c>
    </row>
    <row r="468" spans="4:8">
      <c r="D468" s="27" t="str">
        <f>IFERROR(VLOOKUP(A468,テーブル11[],2,FALSE),"")</f>
        <v/>
      </c>
      <c r="E468" s="25" t="str">
        <f>IFERROR(VLOOKUP($B468,テーブル12[],2,FALSE),"")</f>
        <v/>
      </c>
      <c r="F468" s="25" t="str">
        <f>IFERROR(VLOOKUP($B468,テーブル12[],3,FALSE),"")</f>
        <v/>
      </c>
      <c r="G468" s="31" t="str">
        <f>IFERROR(VLOOKUP($B468,テーブル12[],4,FALSE),"")</f>
        <v/>
      </c>
      <c r="H468" s="25" t="str">
        <f t="shared" si="13"/>
        <v/>
      </c>
    </row>
    <row r="469" spans="4:8">
      <c r="D469" s="27" t="str">
        <f>IFERROR(VLOOKUP(A469,テーブル11[],2,FALSE),"")</f>
        <v/>
      </c>
      <c r="E469" s="25" t="str">
        <f>IFERROR(VLOOKUP($B469,テーブル12[],2,FALSE),"")</f>
        <v/>
      </c>
      <c r="F469" s="25" t="str">
        <f>IFERROR(VLOOKUP($B469,テーブル12[],3,FALSE),"")</f>
        <v/>
      </c>
      <c r="G469" s="31" t="str">
        <f>IFERROR(VLOOKUP($B469,テーブル12[],4,FALSE),"")</f>
        <v/>
      </c>
      <c r="H469" s="25" t="str">
        <f t="shared" si="13"/>
        <v/>
      </c>
    </row>
    <row r="470" spans="4:8">
      <c r="D470" s="27" t="str">
        <f>IFERROR(VLOOKUP(A470,テーブル11[],2,FALSE),"")</f>
        <v/>
      </c>
      <c r="E470" s="25" t="str">
        <f>IFERROR(VLOOKUP($B470,テーブル12[],2,FALSE),"")</f>
        <v/>
      </c>
      <c r="F470" s="25" t="str">
        <f>IFERROR(VLOOKUP($B470,テーブル12[],3,FALSE),"")</f>
        <v/>
      </c>
      <c r="G470" s="31" t="str">
        <f>IFERROR(VLOOKUP($B470,テーブル12[],4,FALSE),"")</f>
        <v/>
      </c>
      <c r="H470" s="25" t="str">
        <f t="shared" si="13"/>
        <v/>
      </c>
    </row>
    <row r="471" spans="4:8">
      <c r="D471" s="27" t="str">
        <f>IFERROR(VLOOKUP(A471,テーブル11[],2,FALSE),"")</f>
        <v/>
      </c>
      <c r="E471" s="25" t="str">
        <f>IFERROR(VLOOKUP($B471,テーブル12[],2,FALSE),"")</f>
        <v/>
      </c>
      <c r="F471" s="25" t="str">
        <f>IFERROR(VLOOKUP($B471,テーブル12[],3,FALSE),"")</f>
        <v/>
      </c>
      <c r="G471" s="31" t="str">
        <f>IFERROR(VLOOKUP($B471,テーブル12[],4,FALSE),"")</f>
        <v/>
      </c>
      <c r="H471" s="25" t="str">
        <f t="shared" si="13"/>
        <v/>
      </c>
    </row>
    <row r="472" spans="4:8">
      <c r="D472" s="27" t="str">
        <f>IFERROR(VLOOKUP(A472,テーブル11[],2,FALSE),"")</f>
        <v/>
      </c>
      <c r="E472" s="25" t="str">
        <f>IFERROR(VLOOKUP($B472,テーブル12[],2,FALSE),"")</f>
        <v/>
      </c>
      <c r="F472" s="25" t="str">
        <f>IFERROR(VLOOKUP($B472,テーブル12[],3,FALSE),"")</f>
        <v/>
      </c>
      <c r="G472" s="31" t="str">
        <f>IFERROR(VLOOKUP($B472,テーブル12[],4,FALSE),"")</f>
        <v/>
      </c>
      <c r="H472" s="25" t="str">
        <f t="shared" si="13"/>
        <v/>
      </c>
    </row>
    <row r="473" spans="4:8">
      <c r="D473" s="27" t="str">
        <f>IFERROR(VLOOKUP(A473,テーブル11[],2,FALSE),"")</f>
        <v/>
      </c>
      <c r="E473" s="25" t="str">
        <f>IFERROR(VLOOKUP($B473,テーブル12[],2,FALSE),"")</f>
        <v/>
      </c>
      <c r="F473" s="25" t="str">
        <f>IFERROR(VLOOKUP($B473,テーブル12[],3,FALSE),"")</f>
        <v/>
      </c>
      <c r="G473" s="31" t="str">
        <f>IFERROR(VLOOKUP($B473,テーブル12[],4,FALSE),"")</f>
        <v/>
      </c>
      <c r="H473" s="25" t="str">
        <f t="shared" si="13"/>
        <v/>
      </c>
    </row>
    <row r="474" spans="4:8">
      <c r="D474" s="27" t="str">
        <f>IFERROR(VLOOKUP(A474,テーブル11[],2,FALSE),"")</f>
        <v/>
      </c>
      <c r="E474" s="25" t="str">
        <f>IFERROR(VLOOKUP($B474,テーブル12[],2,FALSE),"")</f>
        <v/>
      </c>
      <c r="F474" s="25" t="str">
        <f>IFERROR(VLOOKUP($B474,テーブル12[],3,FALSE),"")</f>
        <v/>
      </c>
      <c r="G474" s="31" t="str">
        <f>IFERROR(VLOOKUP($B474,テーブル12[],4,FALSE),"")</f>
        <v/>
      </c>
      <c r="H474" s="25" t="str">
        <f t="shared" si="13"/>
        <v/>
      </c>
    </row>
    <row r="475" spans="4:8">
      <c r="D475" s="27" t="str">
        <f>IFERROR(VLOOKUP(A475,テーブル11[],2,FALSE),"")</f>
        <v/>
      </c>
      <c r="E475" s="25" t="str">
        <f>IFERROR(VLOOKUP($B475,テーブル12[],2,FALSE),"")</f>
        <v/>
      </c>
      <c r="F475" s="25" t="str">
        <f>IFERROR(VLOOKUP($B475,テーブル12[],3,FALSE),"")</f>
        <v/>
      </c>
      <c r="G475" s="31" t="str">
        <f>IFERROR(VLOOKUP($B475,テーブル12[],4,FALSE),"")</f>
        <v/>
      </c>
      <c r="H475" s="25" t="str">
        <f t="shared" si="13"/>
        <v/>
      </c>
    </row>
    <row r="476" spans="4:8">
      <c r="D476" s="27" t="str">
        <f>IFERROR(VLOOKUP(A476,テーブル11[],2,FALSE),"")</f>
        <v/>
      </c>
      <c r="E476" s="25" t="str">
        <f>IFERROR(VLOOKUP($B476,テーブル12[],2,FALSE),"")</f>
        <v/>
      </c>
      <c r="F476" s="25" t="str">
        <f>IFERROR(VLOOKUP($B476,テーブル12[],3,FALSE),"")</f>
        <v/>
      </c>
      <c r="G476" s="31" t="str">
        <f>IFERROR(VLOOKUP($B476,テーブル12[],4,FALSE),"")</f>
        <v/>
      </c>
      <c r="H476" s="25" t="str">
        <f t="shared" si="13"/>
        <v/>
      </c>
    </row>
    <row r="477" spans="4:8">
      <c r="D477" s="27" t="str">
        <f>IFERROR(VLOOKUP(A477,テーブル11[],2,FALSE),"")</f>
        <v/>
      </c>
      <c r="E477" s="25" t="str">
        <f>IFERROR(VLOOKUP($B477,テーブル12[],2,FALSE),"")</f>
        <v/>
      </c>
      <c r="F477" s="25" t="str">
        <f>IFERROR(VLOOKUP($B477,テーブル12[],3,FALSE),"")</f>
        <v/>
      </c>
      <c r="G477" s="31" t="str">
        <f>IFERROR(VLOOKUP($B477,テーブル12[],4,FALSE),"")</f>
        <v/>
      </c>
      <c r="H477" s="25" t="str">
        <f t="shared" si="13"/>
        <v/>
      </c>
    </row>
    <row r="478" spans="4:8">
      <c r="D478" s="27" t="str">
        <f>IFERROR(VLOOKUP(A478,テーブル11[],2,FALSE),"")</f>
        <v/>
      </c>
      <c r="E478" s="25" t="str">
        <f>IFERROR(VLOOKUP($B478,テーブル12[],2,FALSE),"")</f>
        <v/>
      </c>
      <c r="F478" s="25" t="str">
        <f>IFERROR(VLOOKUP($B478,テーブル12[],3,FALSE),"")</f>
        <v/>
      </c>
      <c r="G478" s="31" t="str">
        <f>IFERROR(VLOOKUP($B478,テーブル12[],4,FALSE),"")</f>
        <v/>
      </c>
      <c r="H478" s="25" t="str">
        <f t="shared" si="13"/>
        <v/>
      </c>
    </row>
    <row r="479" spans="4:8">
      <c r="D479" s="27" t="str">
        <f>IFERROR(VLOOKUP(A479,テーブル11[],2,FALSE),"")</f>
        <v/>
      </c>
      <c r="E479" s="25" t="str">
        <f>IFERROR(VLOOKUP($B479,テーブル12[],2,FALSE),"")</f>
        <v/>
      </c>
      <c r="F479" s="25" t="str">
        <f>IFERROR(VLOOKUP($B479,テーブル12[],3,FALSE),"")</f>
        <v/>
      </c>
      <c r="G479" s="31" t="str">
        <f>IFERROR(VLOOKUP($B479,テーブル12[],4,FALSE),"")</f>
        <v/>
      </c>
      <c r="H479" s="25" t="str">
        <f t="shared" si="13"/>
        <v/>
      </c>
    </row>
    <row r="480" spans="4:8">
      <c r="D480" s="27" t="str">
        <f>IFERROR(VLOOKUP(A480,テーブル11[],2,FALSE),"")</f>
        <v/>
      </c>
      <c r="E480" s="25" t="str">
        <f>IFERROR(VLOOKUP($B480,テーブル12[],2,FALSE),"")</f>
        <v/>
      </c>
      <c r="F480" s="25" t="str">
        <f>IFERROR(VLOOKUP($B480,テーブル12[],3,FALSE),"")</f>
        <v/>
      </c>
      <c r="G480" s="31" t="str">
        <f>IFERROR(VLOOKUP($B480,テーブル12[],4,FALSE),"")</f>
        <v/>
      </c>
      <c r="H480" s="25" t="str">
        <f t="shared" si="13"/>
        <v/>
      </c>
    </row>
    <row r="481" spans="4:8">
      <c r="D481" s="27" t="str">
        <f>IFERROR(VLOOKUP(A481,テーブル11[],2,FALSE),"")</f>
        <v/>
      </c>
      <c r="E481" s="25" t="str">
        <f>IFERROR(VLOOKUP($B481,テーブル12[],2,FALSE),"")</f>
        <v/>
      </c>
      <c r="F481" s="25" t="str">
        <f>IFERROR(VLOOKUP($B481,テーブル12[],3,FALSE),"")</f>
        <v/>
      </c>
      <c r="G481" s="31" t="str">
        <f>IFERROR(VLOOKUP($B481,テーブル12[],4,FALSE),"")</f>
        <v/>
      </c>
      <c r="H481" s="25" t="str">
        <f t="shared" si="13"/>
        <v/>
      </c>
    </row>
    <row r="482" spans="4:8">
      <c r="D482" s="27" t="str">
        <f>IFERROR(VLOOKUP(A482,テーブル11[],2,FALSE),"")</f>
        <v/>
      </c>
      <c r="E482" s="25" t="str">
        <f>IFERROR(VLOOKUP($B482,テーブル12[],2,FALSE),"")</f>
        <v/>
      </c>
      <c r="F482" s="25" t="str">
        <f>IFERROR(VLOOKUP($B482,テーブル12[],3,FALSE),"")</f>
        <v/>
      </c>
      <c r="G482" s="31" t="str">
        <f>IFERROR(VLOOKUP($B482,テーブル12[],4,FALSE),"")</f>
        <v/>
      </c>
      <c r="H482" s="25" t="str">
        <f t="shared" si="13"/>
        <v/>
      </c>
    </row>
    <row r="483" spans="4:8">
      <c r="D483" s="27" t="str">
        <f>IFERROR(VLOOKUP(A483,テーブル11[],2,FALSE),"")</f>
        <v/>
      </c>
      <c r="E483" s="25" t="str">
        <f>IFERROR(VLOOKUP($B483,テーブル12[],2,FALSE),"")</f>
        <v/>
      </c>
      <c r="F483" s="25" t="str">
        <f>IFERROR(VLOOKUP($B483,テーブル12[],3,FALSE),"")</f>
        <v/>
      </c>
      <c r="G483" s="31" t="str">
        <f>IFERROR(VLOOKUP($B483,テーブル12[],4,FALSE),"")</f>
        <v/>
      </c>
      <c r="H483" s="25" t="str">
        <f t="shared" si="13"/>
        <v/>
      </c>
    </row>
    <row r="484" spans="4:8">
      <c r="D484" s="27" t="str">
        <f>IFERROR(VLOOKUP(A484,テーブル11[],2,FALSE),"")</f>
        <v/>
      </c>
      <c r="E484" s="25" t="str">
        <f>IFERROR(VLOOKUP($B484,テーブル12[],2,FALSE),"")</f>
        <v/>
      </c>
      <c r="F484" s="25" t="str">
        <f>IFERROR(VLOOKUP($B484,テーブル12[],3,FALSE),"")</f>
        <v/>
      </c>
      <c r="G484" s="31" t="str">
        <f>IFERROR(VLOOKUP($B484,テーブル12[],4,FALSE),"")</f>
        <v/>
      </c>
      <c r="H484" s="25" t="str">
        <f t="shared" si="13"/>
        <v/>
      </c>
    </row>
    <row r="485" spans="4:8">
      <c r="D485" s="27" t="str">
        <f>IFERROR(VLOOKUP(A485,テーブル11[],2,FALSE),"")</f>
        <v/>
      </c>
      <c r="E485" s="25" t="str">
        <f>IFERROR(VLOOKUP($B485,テーブル12[],2,FALSE),"")</f>
        <v/>
      </c>
      <c r="F485" s="25" t="str">
        <f>IFERROR(VLOOKUP($B485,テーブル12[],3,FALSE),"")</f>
        <v/>
      </c>
      <c r="G485" s="31" t="str">
        <f>IFERROR(VLOOKUP($B485,テーブル12[],4,FALSE),"")</f>
        <v/>
      </c>
      <c r="H485" s="25" t="str">
        <f t="shared" si="13"/>
        <v/>
      </c>
    </row>
    <row r="486" spans="4:8">
      <c r="D486" s="27" t="str">
        <f>IFERROR(VLOOKUP(A486,テーブル11[],2,FALSE),"")</f>
        <v/>
      </c>
      <c r="E486" s="25" t="str">
        <f>IFERROR(VLOOKUP($B486,テーブル12[],2,FALSE),"")</f>
        <v/>
      </c>
      <c r="F486" s="25" t="str">
        <f>IFERROR(VLOOKUP($B486,テーブル12[],3,FALSE),"")</f>
        <v/>
      </c>
      <c r="G486" s="31" t="str">
        <f>IFERROR(VLOOKUP($B486,テーブル12[],4,FALSE),"")</f>
        <v/>
      </c>
      <c r="H486" s="25" t="str">
        <f t="shared" si="13"/>
        <v/>
      </c>
    </row>
    <row r="487" spans="4:8">
      <c r="D487" s="27" t="str">
        <f>IFERROR(VLOOKUP(A487,テーブル11[],2,FALSE),"")</f>
        <v/>
      </c>
      <c r="E487" s="25" t="str">
        <f>IFERROR(VLOOKUP($B487,テーブル12[],2,FALSE),"")</f>
        <v/>
      </c>
      <c r="F487" s="25" t="str">
        <f>IFERROR(VLOOKUP($B487,テーブル12[],3,FALSE),"")</f>
        <v/>
      </c>
      <c r="G487" s="31" t="str">
        <f>IFERROR(VLOOKUP($B487,テーブル12[],4,FALSE),"")</f>
        <v/>
      </c>
      <c r="H487" s="25" t="str">
        <f t="shared" si="13"/>
        <v/>
      </c>
    </row>
    <row r="488" spans="4:8">
      <c r="D488" s="27" t="str">
        <f>IFERROR(VLOOKUP(A488,テーブル11[],2,FALSE),"")</f>
        <v/>
      </c>
      <c r="E488" s="25" t="str">
        <f>IFERROR(VLOOKUP($B488,テーブル12[],2,FALSE),"")</f>
        <v/>
      </c>
      <c r="F488" s="25" t="str">
        <f>IFERROR(VLOOKUP($B488,テーブル12[],3,FALSE),"")</f>
        <v/>
      </c>
      <c r="G488" s="31" t="str">
        <f>IFERROR(VLOOKUP($B488,テーブル12[],4,FALSE),"")</f>
        <v/>
      </c>
      <c r="H488" s="25" t="str">
        <f t="shared" si="13"/>
        <v/>
      </c>
    </row>
    <row r="489" spans="4:8">
      <c r="D489" s="27" t="str">
        <f>IFERROR(VLOOKUP(A489,テーブル11[],2,FALSE),"")</f>
        <v/>
      </c>
      <c r="E489" s="25" t="str">
        <f>IFERROR(VLOOKUP($B489,テーブル12[],2,FALSE),"")</f>
        <v/>
      </c>
      <c r="F489" s="25" t="str">
        <f>IFERROR(VLOOKUP($B489,テーブル12[],3,FALSE),"")</f>
        <v/>
      </c>
      <c r="G489" s="31" t="str">
        <f>IFERROR(VLOOKUP($B489,テーブル12[],4,FALSE),"")</f>
        <v/>
      </c>
      <c r="H489" s="25" t="str">
        <f t="shared" si="13"/>
        <v/>
      </c>
    </row>
    <row r="490" spans="4:8">
      <c r="D490" s="27" t="str">
        <f>IFERROR(VLOOKUP(A490,テーブル11[],2,FALSE),"")</f>
        <v/>
      </c>
      <c r="E490" s="25" t="str">
        <f>IFERROR(VLOOKUP($B490,テーブル12[],2,FALSE),"")</f>
        <v/>
      </c>
      <c r="F490" s="25" t="str">
        <f>IFERROR(VLOOKUP($B490,テーブル12[],3,FALSE),"")</f>
        <v/>
      </c>
      <c r="G490" s="31" t="str">
        <f>IFERROR(VLOOKUP($B490,テーブル12[],4,FALSE),"")</f>
        <v/>
      </c>
      <c r="H490" s="25" t="str">
        <f t="shared" si="13"/>
        <v/>
      </c>
    </row>
    <row r="491" spans="4:8">
      <c r="D491" s="27" t="str">
        <f>IFERROR(VLOOKUP(A491,テーブル11[],2,FALSE),"")</f>
        <v/>
      </c>
      <c r="E491" s="25" t="str">
        <f>IFERROR(VLOOKUP($B491,テーブル12[],2,FALSE),"")</f>
        <v/>
      </c>
      <c r="F491" s="25" t="str">
        <f>IFERROR(VLOOKUP($B491,テーブル12[],3,FALSE),"")</f>
        <v/>
      </c>
      <c r="G491" s="31" t="str">
        <f>IFERROR(VLOOKUP($B491,テーブル12[],4,FALSE),"")</f>
        <v/>
      </c>
      <c r="H491" s="25" t="str">
        <f t="shared" si="13"/>
        <v/>
      </c>
    </row>
    <row r="492" spans="4:8">
      <c r="D492" s="27" t="str">
        <f>IFERROR(VLOOKUP(A492,テーブル11[],2,FALSE),"")</f>
        <v/>
      </c>
      <c r="E492" s="25" t="str">
        <f>IFERROR(VLOOKUP($B492,テーブル12[],2,FALSE),"")</f>
        <v/>
      </c>
      <c r="F492" s="25" t="str">
        <f>IFERROR(VLOOKUP($B492,テーブル12[],3,FALSE),"")</f>
        <v/>
      </c>
      <c r="G492" s="31" t="str">
        <f>IFERROR(VLOOKUP($B492,テーブル12[],4,FALSE),"")</f>
        <v/>
      </c>
      <c r="H492" s="25" t="str">
        <f t="shared" si="13"/>
        <v/>
      </c>
    </row>
    <row r="493" spans="4:8">
      <c r="D493" s="27" t="str">
        <f>IFERROR(VLOOKUP(A493,テーブル11[],2,FALSE),"")</f>
        <v/>
      </c>
      <c r="E493" s="25" t="str">
        <f>IFERROR(VLOOKUP($B493,テーブル12[],2,FALSE),"")</f>
        <v/>
      </c>
      <c r="F493" s="25" t="str">
        <f>IFERROR(VLOOKUP($B493,テーブル12[],3,FALSE),"")</f>
        <v/>
      </c>
      <c r="G493" s="31" t="str">
        <f>IFERROR(VLOOKUP($B493,テーブル12[],4,FALSE),"")</f>
        <v/>
      </c>
      <c r="H493" s="25" t="str">
        <f t="shared" si="13"/>
        <v/>
      </c>
    </row>
    <row r="494" spans="4:8">
      <c r="D494" s="27" t="str">
        <f>IFERROR(VLOOKUP(A494,テーブル11[],2,FALSE),"")</f>
        <v/>
      </c>
      <c r="E494" s="25" t="str">
        <f>IFERROR(VLOOKUP($B494,テーブル12[],2,FALSE),"")</f>
        <v/>
      </c>
      <c r="F494" s="25" t="str">
        <f>IFERROR(VLOOKUP($B494,テーブル12[],3,FALSE),"")</f>
        <v/>
      </c>
      <c r="G494" s="31" t="str">
        <f>IFERROR(VLOOKUP($B494,テーブル12[],4,FALSE),"")</f>
        <v/>
      </c>
      <c r="H494" s="25" t="str">
        <f t="shared" si="13"/>
        <v/>
      </c>
    </row>
    <row r="495" spans="4:8">
      <c r="D495" s="27" t="str">
        <f>IFERROR(VLOOKUP(A495,テーブル11[],2,FALSE),"")</f>
        <v/>
      </c>
      <c r="E495" s="25" t="str">
        <f>IFERROR(VLOOKUP($B495,テーブル12[],2,FALSE),"")</f>
        <v/>
      </c>
      <c r="F495" s="25" t="str">
        <f>IFERROR(VLOOKUP($B495,テーブル12[],3,FALSE),"")</f>
        <v/>
      </c>
      <c r="G495" s="31" t="str">
        <f>IFERROR(VLOOKUP($B495,テーブル12[],4,FALSE),"")</f>
        <v/>
      </c>
      <c r="H495" s="25" t="str">
        <f t="shared" si="13"/>
        <v/>
      </c>
    </row>
    <row r="496" spans="4:8">
      <c r="D496" s="27" t="str">
        <f>IFERROR(VLOOKUP(A496,テーブル11[],2,FALSE),"")</f>
        <v/>
      </c>
      <c r="E496" s="25" t="str">
        <f>IFERROR(VLOOKUP($B496,テーブル12[],2,FALSE),"")</f>
        <v/>
      </c>
      <c r="F496" s="25" t="str">
        <f>IFERROR(VLOOKUP($B496,テーブル12[],3,FALSE),"")</f>
        <v/>
      </c>
      <c r="G496" s="31" t="str">
        <f>IFERROR(VLOOKUP($B496,テーブル12[],4,FALSE),"")</f>
        <v/>
      </c>
      <c r="H496" s="25" t="str">
        <f t="shared" si="13"/>
        <v/>
      </c>
    </row>
    <row r="497" spans="4:8">
      <c r="D497" s="27" t="str">
        <f>IFERROR(VLOOKUP(A497,テーブル11[],2,FALSE),"")</f>
        <v/>
      </c>
      <c r="E497" s="25" t="str">
        <f>IFERROR(VLOOKUP($B497,テーブル12[],2,FALSE),"")</f>
        <v/>
      </c>
      <c r="F497" s="25" t="str">
        <f>IFERROR(VLOOKUP($B497,テーブル12[],3,FALSE),"")</f>
        <v/>
      </c>
      <c r="G497" s="31" t="str">
        <f>IFERROR(VLOOKUP($B497,テーブル12[],4,FALSE),"")</f>
        <v/>
      </c>
      <c r="H497" s="25" t="str">
        <f t="shared" si="13"/>
        <v/>
      </c>
    </row>
    <row r="498" spans="4:8">
      <c r="D498" s="27" t="str">
        <f>IFERROR(VLOOKUP(A498,テーブル11[],2,FALSE),"")</f>
        <v/>
      </c>
      <c r="E498" s="25" t="str">
        <f>IFERROR(VLOOKUP($B498,テーブル12[],2,FALSE),"")</f>
        <v/>
      </c>
      <c r="F498" s="25" t="str">
        <f>IFERROR(VLOOKUP($B498,テーブル12[],3,FALSE),"")</f>
        <v/>
      </c>
      <c r="G498" s="31" t="str">
        <f>IFERROR(VLOOKUP($B498,テーブル12[],4,FALSE),"")</f>
        <v/>
      </c>
      <c r="H498" s="25" t="str">
        <f t="shared" si="13"/>
        <v/>
      </c>
    </row>
    <row r="499" spans="4:8">
      <c r="D499" s="27" t="str">
        <f>IFERROR(VLOOKUP(A499,テーブル11[],2,FALSE),"")</f>
        <v/>
      </c>
      <c r="E499" s="25" t="str">
        <f>IFERROR(VLOOKUP($B499,テーブル12[],2,FALSE),"")</f>
        <v/>
      </c>
      <c r="F499" s="25" t="str">
        <f>IFERROR(VLOOKUP($B499,テーブル12[],3,FALSE),"")</f>
        <v/>
      </c>
      <c r="G499" s="31" t="str">
        <f>IFERROR(VLOOKUP($B499,テーブル12[],4,FALSE),"")</f>
        <v/>
      </c>
      <c r="H499" s="25" t="str">
        <f t="shared" si="13"/>
        <v/>
      </c>
    </row>
    <row r="500" spans="4:8">
      <c r="D500" s="27" t="str">
        <f>IFERROR(VLOOKUP(A500,テーブル11[],2,FALSE),"")</f>
        <v/>
      </c>
      <c r="E500" s="25" t="str">
        <f>IFERROR(VLOOKUP($B500,テーブル12[],2,FALSE),"")</f>
        <v/>
      </c>
      <c r="F500" s="25" t="str">
        <f>IFERROR(VLOOKUP($B500,テーブル12[],3,FALSE),"")</f>
        <v/>
      </c>
      <c r="G500" s="31" t="str">
        <f>IFERROR(VLOOKUP($B500,テーブル12[],4,FALSE),"")</f>
        <v/>
      </c>
      <c r="H500" s="25" t="str">
        <f t="shared" si="13"/>
        <v/>
      </c>
    </row>
    <row r="501" spans="4:8">
      <c r="D501" s="27" t="str">
        <f>IFERROR(VLOOKUP(A501,テーブル11[],2,FALSE),"")</f>
        <v/>
      </c>
      <c r="E501" s="25" t="str">
        <f>IFERROR(VLOOKUP($B501,テーブル12[],2,FALSE),"")</f>
        <v/>
      </c>
      <c r="F501" s="25" t="str">
        <f>IFERROR(VLOOKUP($B501,テーブル12[],3,FALSE),"")</f>
        <v/>
      </c>
      <c r="G501" s="31" t="str">
        <f>IFERROR(VLOOKUP($B501,テーブル12[],4,FALSE),"")</f>
        <v/>
      </c>
      <c r="H501" s="25" t="str">
        <f t="shared" si="13"/>
        <v/>
      </c>
    </row>
    <row r="502" spans="4:8">
      <c r="D502" s="27" t="str">
        <f>IFERROR(VLOOKUP(A502,テーブル11[],2,FALSE),"")</f>
        <v/>
      </c>
      <c r="E502" s="25" t="str">
        <f>IFERROR(VLOOKUP($B502,テーブル12[],2,FALSE),"")</f>
        <v/>
      </c>
      <c r="F502" s="25" t="str">
        <f>IFERROR(VLOOKUP($B502,テーブル12[],3,FALSE),"")</f>
        <v/>
      </c>
      <c r="G502" s="31" t="str">
        <f>IFERROR(VLOOKUP($B502,テーブル12[],4,FALSE),"")</f>
        <v/>
      </c>
      <c r="H502" s="25" t="str">
        <f t="shared" si="13"/>
        <v/>
      </c>
    </row>
    <row r="503" spans="4:8">
      <c r="D503" s="27" t="str">
        <f>IFERROR(VLOOKUP(A503,テーブル11[],2,FALSE),"")</f>
        <v/>
      </c>
      <c r="E503" s="25" t="str">
        <f>IFERROR(VLOOKUP($B503,テーブル12[],2,FALSE),"")</f>
        <v/>
      </c>
      <c r="F503" s="25" t="str">
        <f>IFERROR(VLOOKUP($B503,テーブル12[],3,FALSE),"")</f>
        <v/>
      </c>
      <c r="G503" s="31" t="str">
        <f>IFERROR(VLOOKUP($B503,テーブル12[],4,FALSE),"")</f>
        <v/>
      </c>
      <c r="H503" s="25" t="str">
        <f t="shared" si="13"/>
        <v/>
      </c>
    </row>
    <row r="504" spans="4:8">
      <c r="D504" s="27" t="str">
        <f>IFERROR(VLOOKUP(A504,テーブル11[],2,FALSE),"")</f>
        <v/>
      </c>
      <c r="E504" s="25" t="str">
        <f>IFERROR(VLOOKUP($B504,テーブル12[],2,FALSE),"")</f>
        <v/>
      </c>
      <c r="F504" s="25" t="str">
        <f>IFERROR(VLOOKUP($B504,テーブル12[],3,FALSE),"")</f>
        <v/>
      </c>
      <c r="G504" s="31" t="str">
        <f>IFERROR(VLOOKUP($B504,テーブル12[],4,FALSE),"")</f>
        <v/>
      </c>
      <c r="H504" s="25" t="str">
        <f t="shared" si="13"/>
        <v/>
      </c>
    </row>
    <row r="505" spans="4:8">
      <c r="D505" s="27" t="str">
        <f>IFERROR(VLOOKUP(A505,テーブル11[],2,FALSE),"")</f>
        <v/>
      </c>
      <c r="E505" s="25" t="str">
        <f>IFERROR(VLOOKUP($B505,テーブル12[],2,FALSE),"")</f>
        <v/>
      </c>
      <c r="F505" s="25" t="str">
        <f>IFERROR(VLOOKUP($B505,テーブル12[],3,FALSE),"")</f>
        <v/>
      </c>
      <c r="G505" s="31" t="str">
        <f>IFERROR(VLOOKUP($B505,テーブル12[],4,FALSE),"")</f>
        <v/>
      </c>
      <c r="H505" s="25" t="str">
        <f t="shared" si="13"/>
        <v/>
      </c>
    </row>
    <row r="506" spans="4:8">
      <c r="D506" s="27" t="str">
        <f>IFERROR(VLOOKUP(A506,テーブル11[],2,FALSE),"")</f>
        <v/>
      </c>
      <c r="E506" s="25" t="str">
        <f>IFERROR(VLOOKUP($B506,テーブル12[],2,FALSE),"")</f>
        <v/>
      </c>
      <c r="F506" s="25" t="str">
        <f>IFERROR(VLOOKUP($B506,テーブル12[],3,FALSE),"")</f>
        <v/>
      </c>
      <c r="G506" s="31" t="str">
        <f>IFERROR(VLOOKUP($B506,テーブル12[],4,FALSE),"")</f>
        <v/>
      </c>
      <c r="H506" s="25" t="str">
        <f t="shared" si="13"/>
        <v/>
      </c>
    </row>
    <row r="507" spans="4:8">
      <c r="D507" s="27" t="str">
        <f>IFERROR(VLOOKUP(A507,テーブル11[],2,FALSE),"")</f>
        <v/>
      </c>
      <c r="E507" s="25" t="str">
        <f>IFERROR(VLOOKUP($B507,テーブル12[],2,FALSE),"")</f>
        <v/>
      </c>
      <c r="F507" s="25" t="str">
        <f>IFERROR(VLOOKUP($B507,テーブル12[],3,FALSE),"")</f>
        <v/>
      </c>
      <c r="G507" s="31" t="str">
        <f>IFERROR(VLOOKUP($B507,テーブル12[],4,FALSE),"")</f>
        <v/>
      </c>
      <c r="H507" s="25" t="str">
        <f t="shared" si="13"/>
        <v/>
      </c>
    </row>
    <row r="508" spans="4:8">
      <c r="D508" s="27" t="str">
        <f>IFERROR(VLOOKUP(A508,テーブル11[],2,FALSE),"")</f>
        <v/>
      </c>
      <c r="E508" s="25" t="str">
        <f>IFERROR(VLOOKUP($B508,テーブル12[],2,FALSE),"")</f>
        <v/>
      </c>
      <c r="F508" s="25" t="str">
        <f>IFERROR(VLOOKUP($B508,テーブル12[],3,FALSE),"")</f>
        <v/>
      </c>
      <c r="G508" s="31" t="str">
        <f>IFERROR(VLOOKUP($B508,テーブル12[],4,FALSE),"")</f>
        <v/>
      </c>
      <c r="H508" s="25" t="str">
        <f t="shared" si="13"/>
        <v/>
      </c>
    </row>
    <row r="509" spans="4:8">
      <c r="D509" s="27" t="str">
        <f>IFERROR(VLOOKUP(A509,テーブル11[],2,FALSE),"")</f>
        <v/>
      </c>
      <c r="E509" s="25" t="str">
        <f>IFERROR(VLOOKUP($B509,テーブル12[],2,FALSE),"")</f>
        <v/>
      </c>
      <c r="F509" s="25" t="str">
        <f>IFERROR(VLOOKUP($B509,テーブル12[],3,FALSE),"")</f>
        <v/>
      </c>
      <c r="G509" s="31" t="str">
        <f>IFERROR(VLOOKUP($B509,テーブル12[],4,FALSE),"")</f>
        <v/>
      </c>
      <c r="H509" s="25" t="str">
        <f t="shared" si="13"/>
        <v/>
      </c>
    </row>
    <row r="510" spans="4:8">
      <c r="D510" s="27" t="str">
        <f>IFERROR(VLOOKUP(A510,テーブル11[],2,FALSE),"")</f>
        <v/>
      </c>
      <c r="E510" s="25" t="str">
        <f>IFERROR(VLOOKUP($B510,テーブル12[],2,FALSE),"")</f>
        <v/>
      </c>
      <c r="F510" s="25" t="str">
        <f>IFERROR(VLOOKUP($B510,テーブル12[],3,FALSE),"")</f>
        <v/>
      </c>
      <c r="G510" s="31" t="str">
        <f>IFERROR(VLOOKUP($B510,テーブル12[],4,FALSE),"")</f>
        <v/>
      </c>
      <c r="H510" s="25" t="str">
        <f t="shared" si="13"/>
        <v/>
      </c>
    </row>
    <row r="511" spans="4:8">
      <c r="D511" s="27" t="str">
        <f>IFERROR(VLOOKUP(A511,テーブル11[],2,FALSE),"")</f>
        <v/>
      </c>
      <c r="E511" s="25" t="str">
        <f>IFERROR(VLOOKUP($B511,テーブル12[],2,FALSE),"")</f>
        <v/>
      </c>
      <c r="F511" s="25" t="str">
        <f>IFERROR(VLOOKUP($B511,テーブル12[],3,FALSE),"")</f>
        <v/>
      </c>
      <c r="G511" s="31" t="str">
        <f>IFERROR(VLOOKUP($B511,テーブル12[],4,FALSE),"")</f>
        <v/>
      </c>
      <c r="H511" s="25" t="str">
        <f t="shared" si="13"/>
        <v/>
      </c>
    </row>
    <row r="512" spans="4:8">
      <c r="D512" s="27" t="str">
        <f>IFERROR(VLOOKUP(A512,テーブル11[],2,FALSE),"")</f>
        <v/>
      </c>
      <c r="E512" s="25" t="str">
        <f>IFERROR(VLOOKUP($B512,テーブル12[],2,FALSE),"")</f>
        <v/>
      </c>
      <c r="F512" s="25" t="str">
        <f>IFERROR(VLOOKUP($B512,テーブル12[],3,FALSE),"")</f>
        <v/>
      </c>
      <c r="G512" s="31" t="str">
        <f>IFERROR(VLOOKUP($B512,テーブル12[],4,FALSE),"")</f>
        <v/>
      </c>
      <c r="H512" s="25" t="str">
        <f t="shared" si="13"/>
        <v/>
      </c>
    </row>
    <row r="513" spans="4:8">
      <c r="D513" s="27" t="str">
        <f>IFERROR(VLOOKUP(A513,テーブル11[],2,FALSE),"")</f>
        <v/>
      </c>
      <c r="E513" s="25" t="str">
        <f>IFERROR(VLOOKUP($B513,テーブル12[],2,FALSE),"")</f>
        <v/>
      </c>
      <c r="F513" s="25" t="str">
        <f>IFERROR(VLOOKUP($B513,テーブル12[],3,FALSE),"")</f>
        <v/>
      </c>
      <c r="G513" s="31" t="str">
        <f>IFERROR(VLOOKUP($B513,テーブル12[],4,FALSE),"")</f>
        <v/>
      </c>
      <c r="H513" s="25" t="str">
        <f t="shared" si="13"/>
        <v/>
      </c>
    </row>
    <row r="514" spans="4:8">
      <c r="D514" s="27" t="str">
        <f>IFERROR(VLOOKUP(A514,テーブル11[],2,FALSE),"")</f>
        <v/>
      </c>
      <c r="E514" s="25" t="str">
        <f>IFERROR(VLOOKUP($B514,テーブル12[],2,FALSE),"")</f>
        <v/>
      </c>
      <c r="F514" s="25" t="str">
        <f>IFERROR(VLOOKUP($B514,テーブル12[],3,FALSE),"")</f>
        <v/>
      </c>
      <c r="G514" s="31" t="str">
        <f>IFERROR(VLOOKUP($B514,テーブル12[],4,FALSE),"")</f>
        <v/>
      </c>
      <c r="H514" s="25" t="str">
        <f t="shared" ref="H514:H577" si="14">IF(C514=0,"",C514)</f>
        <v/>
      </c>
    </row>
    <row r="515" spans="4:8">
      <c r="D515" s="27" t="str">
        <f>IFERROR(VLOOKUP(A515,テーブル11[],2,FALSE),"")</f>
        <v/>
      </c>
      <c r="E515" s="25" t="str">
        <f>IFERROR(VLOOKUP($B515,テーブル12[],2,FALSE),"")</f>
        <v/>
      </c>
      <c r="F515" s="25" t="str">
        <f>IFERROR(VLOOKUP($B515,テーブル12[],3,FALSE),"")</f>
        <v/>
      </c>
      <c r="G515" s="31" t="str">
        <f>IFERROR(VLOOKUP($B515,テーブル12[],4,FALSE),"")</f>
        <v/>
      </c>
      <c r="H515" s="25" t="str">
        <f t="shared" si="14"/>
        <v/>
      </c>
    </row>
    <row r="516" spans="4:8">
      <c r="D516" s="27" t="str">
        <f>IFERROR(VLOOKUP(A516,テーブル11[],2,FALSE),"")</f>
        <v/>
      </c>
      <c r="E516" s="25" t="str">
        <f>IFERROR(VLOOKUP($B516,テーブル12[],2,FALSE),"")</f>
        <v/>
      </c>
      <c r="F516" s="25" t="str">
        <f>IFERROR(VLOOKUP($B516,テーブル12[],3,FALSE),"")</f>
        <v/>
      </c>
      <c r="G516" s="31" t="str">
        <f>IFERROR(VLOOKUP($B516,テーブル12[],4,FALSE),"")</f>
        <v/>
      </c>
      <c r="H516" s="25" t="str">
        <f t="shared" si="14"/>
        <v/>
      </c>
    </row>
    <row r="517" spans="4:8">
      <c r="D517" s="27" t="str">
        <f>IFERROR(VLOOKUP(A517,テーブル11[],2,FALSE),"")</f>
        <v/>
      </c>
      <c r="E517" s="25" t="str">
        <f>IFERROR(VLOOKUP($B517,テーブル12[],2,FALSE),"")</f>
        <v/>
      </c>
      <c r="F517" s="25" t="str">
        <f>IFERROR(VLOOKUP($B517,テーブル12[],3,FALSE),"")</f>
        <v/>
      </c>
      <c r="G517" s="31" t="str">
        <f>IFERROR(VLOOKUP($B517,テーブル12[],4,FALSE),"")</f>
        <v/>
      </c>
      <c r="H517" s="25" t="str">
        <f t="shared" si="14"/>
        <v/>
      </c>
    </row>
    <row r="518" spans="4:8">
      <c r="D518" s="27" t="str">
        <f>IFERROR(VLOOKUP(A518,テーブル11[],2,FALSE),"")</f>
        <v/>
      </c>
      <c r="E518" s="25" t="str">
        <f>IFERROR(VLOOKUP($B518,テーブル12[],2,FALSE),"")</f>
        <v/>
      </c>
      <c r="F518" s="25" t="str">
        <f>IFERROR(VLOOKUP($B518,テーブル12[],3,FALSE),"")</f>
        <v/>
      </c>
      <c r="G518" s="31" t="str">
        <f>IFERROR(VLOOKUP($B518,テーブル12[],4,FALSE),"")</f>
        <v/>
      </c>
      <c r="H518" s="25" t="str">
        <f t="shared" si="14"/>
        <v/>
      </c>
    </row>
    <row r="519" spans="4:8">
      <c r="D519" s="27" t="str">
        <f>IFERROR(VLOOKUP(A519,テーブル11[],2,FALSE),"")</f>
        <v/>
      </c>
      <c r="E519" s="25" t="str">
        <f>IFERROR(VLOOKUP($B519,テーブル12[],2,FALSE),"")</f>
        <v/>
      </c>
      <c r="F519" s="25" t="str">
        <f>IFERROR(VLOOKUP($B519,テーブル12[],3,FALSE),"")</f>
        <v/>
      </c>
      <c r="G519" s="31" t="str">
        <f>IFERROR(VLOOKUP($B519,テーブル12[],4,FALSE),"")</f>
        <v/>
      </c>
      <c r="H519" s="25" t="str">
        <f t="shared" si="14"/>
        <v/>
      </c>
    </row>
    <row r="520" spans="4:8">
      <c r="D520" s="27" t="str">
        <f>IFERROR(VLOOKUP(A520,テーブル11[],2,FALSE),"")</f>
        <v/>
      </c>
      <c r="E520" s="25" t="str">
        <f>IFERROR(VLOOKUP($B520,テーブル12[],2,FALSE),"")</f>
        <v/>
      </c>
      <c r="F520" s="25" t="str">
        <f>IFERROR(VLOOKUP($B520,テーブル12[],3,FALSE),"")</f>
        <v/>
      </c>
      <c r="G520" s="31" t="str">
        <f>IFERROR(VLOOKUP($B520,テーブル12[],4,FALSE),"")</f>
        <v/>
      </c>
      <c r="H520" s="25" t="str">
        <f t="shared" si="14"/>
        <v/>
      </c>
    </row>
    <row r="521" spans="4:8">
      <c r="D521" s="27" t="str">
        <f>IFERROR(VLOOKUP(A521,テーブル11[],2,FALSE),"")</f>
        <v/>
      </c>
      <c r="E521" s="25" t="str">
        <f>IFERROR(VLOOKUP($B521,テーブル12[],2,FALSE),"")</f>
        <v/>
      </c>
      <c r="F521" s="25" t="str">
        <f>IFERROR(VLOOKUP($B521,テーブル12[],3,FALSE),"")</f>
        <v/>
      </c>
      <c r="G521" s="31" t="str">
        <f>IFERROR(VLOOKUP($B521,テーブル12[],4,FALSE),"")</f>
        <v/>
      </c>
      <c r="H521" s="25" t="str">
        <f t="shared" si="14"/>
        <v/>
      </c>
    </row>
    <row r="522" spans="4:8">
      <c r="D522" s="27" t="str">
        <f>IFERROR(VLOOKUP(A522,テーブル11[],2,FALSE),"")</f>
        <v/>
      </c>
      <c r="E522" s="25" t="str">
        <f>IFERROR(VLOOKUP($B522,テーブル12[],2,FALSE),"")</f>
        <v/>
      </c>
      <c r="F522" s="25" t="str">
        <f>IFERROR(VLOOKUP($B522,テーブル12[],3,FALSE),"")</f>
        <v/>
      </c>
      <c r="G522" s="31" t="str">
        <f>IFERROR(VLOOKUP($B522,テーブル12[],4,FALSE),"")</f>
        <v/>
      </c>
      <c r="H522" s="25" t="str">
        <f t="shared" si="14"/>
        <v/>
      </c>
    </row>
    <row r="523" spans="4:8">
      <c r="D523" s="27" t="str">
        <f>IFERROR(VLOOKUP(A523,テーブル11[],2,FALSE),"")</f>
        <v/>
      </c>
      <c r="E523" s="25" t="str">
        <f>IFERROR(VLOOKUP($B523,テーブル12[],2,FALSE),"")</f>
        <v/>
      </c>
      <c r="F523" s="25" t="str">
        <f>IFERROR(VLOOKUP($B523,テーブル12[],3,FALSE),"")</f>
        <v/>
      </c>
      <c r="G523" s="31" t="str">
        <f>IFERROR(VLOOKUP($B523,テーブル12[],4,FALSE),"")</f>
        <v/>
      </c>
      <c r="H523" s="25" t="str">
        <f t="shared" si="14"/>
        <v/>
      </c>
    </row>
    <row r="524" spans="4:8">
      <c r="D524" s="27" t="str">
        <f>IFERROR(VLOOKUP(A524,テーブル11[],2,FALSE),"")</f>
        <v/>
      </c>
      <c r="E524" s="25" t="str">
        <f>IFERROR(VLOOKUP($B524,テーブル12[],2,FALSE),"")</f>
        <v/>
      </c>
      <c r="F524" s="25" t="str">
        <f>IFERROR(VLOOKUP($B524,テーブル12[],3,FALSE),"")</f>
        <v/>
      </c>
      <c r="G524" s="31" t="str">
        <f>IFERROR(VLOOKUP($B524,テーブル12[],4,FALSE),"")</f>
        <v/>
      </c>
      <c r="H524" s="25" t="str">
        <f t="shared" si="14"/>
        <v/>
      </c>
    </row>
    <row r="525" spans="4:8">
      <c r="D525" s="27" t="str">
        <f>IFERROR(VLOOKUP(A525,テーブル11[],2,FALSE),"")</f>
        <v/>
      </c>
      <c r="E525" s="25" t="str">
        <f>IFERROR(VLOOKUP($B525,テーブル12[],2,FALSE),"")</f>
        <v/>
      </c>
      <c r="F525" s="25" t="str">
        <f>IFERROR(VLOOKUP($B525,テーブル12[],3,FALSE),"")</f>
        <v/>
      </c>
      <c r="G525" s="31" t="str">
        <f>IFERROR(VLOOKUP($B525,テーブル12[],4,FALSE),"")</f>
        <v/>
      </c>
      <c r="H525" s="25" t="str">
        <f t="shared" si="14"/>
        <v/>
      </c>
    </row>
    <row r="526" spans="4:8">
      <c r="D526" s="27" t="str">
        <f>IFERROR(VLOOKUP(A526,テーブル11[],2,FALSE),"")</f>
        <v/>
      </c>
      <c r="E526" s="25" t="str">
        <f>IFERROR(VLOOKUP($B526,テーブル12[],2,FALSE),"")</f>
        <v/>
      </c>
      <c r="F526" s="25" t="str">
        <f>IFERROR(VLOOKUP($B526,テーブル12[],3,FALSE),"")</f>
        <v/>
      </c>
      <c r="G526" s="31" t="str">
        <f>IFERROR(VLOOKUP($B526,テーブル12[],4,FALSE),"")</f>
        <v/>
      </c>
      <c r="H526" s="25" t="str">
        <f t="shared" si="14"/>
        <v/>
      </c>
    </row>
    <row r="527" spans="4:8">
      <c r="D527" s="27" t="str">
        <f>IFERROR(VLOOKUP(A527,テーブル11[],2,FALSE),"")</f>
        <v/>
      </c>
      <c r="E527" s="25" t="str">
        <f>IFERROR(VLOOKUP($B527,テーブル12[],2,FALSE),"")</f>
        <v/>
      </c>
      <c r="F527" s="25" t="str">
        <f>IFERROR(VLOOKUP($B527,テーブル12[],3,FALSE),"")</f>
        <v/>
      </c>
      <c r="G527" s="31" t="str">
        <f>IFERROR(VLOOKUP($B527,テーブル12[],4,FALSE),"")</f>
        <v/>
      </c>
      <c r="H527" s="25" t="str">
        <f t="shared" si="14"/>
        <v/>
      </c>
    </row>
    <row r="528" spans="4:8">
      <c r="D528" s="27" t="str">
        <f>IFERROR(VLOOKUP(A528,テーブル11[],2,FALSE),"")</f>
        <v/>
      </c>
      <c r="E528" s="25" t="str">
        <f>IFERROR(VLOOKUP($B528,テーブル12[],2,FALSE),"")</f>
        <v/>
      </c>
      <c r="F528" s="25" t="str">
        <f>IFERROR(VLOOKUP($B528,テーブル12[],3,FALSE),"")</f>
        <v/>
      </c>
      <c r="G528" s="31" t="str">
        <f>IFERROR(VLOOKUP($B528,テーブル12[],4,FALSE),"")</f>
        <v/>
      </c>
      <c r="H528" s="25" t="str">
        <f t="shared" si="14"/>
        <v/>
      </c>
    </row>
    <row r="529" spans="4:8">
      <c r="D529" s="27" t="str">
        <f>IFERROR(VLOOKUP(A529,テーブル11[],2,FALSE),"")</f>
        <v/>
      </c>
      <c r="E529" s="25" t="str">
        <f>IFERROR(VLOOKUP($B529,テーブル12[],2,FALSE),"")</f>
        <v/>
      </c>
      <c r="F529" s="25" t="str">
        <f>IFERROR(VLOOKUP($B529,テーブル12[],3,FALSE),"")</f>
        <v/>
      </c>
      <c r="G529" s="31" t="str">
        <f>IFERROR(VLOOKUP($B529,テーブル12[],4,FALSE),"")</f>
        <v/>
      </c>
      <c r="H529" s="25" t="str">
        <f t="shared" si="14"/>
        <v/>
      </c>
    </row>
    <row r="530" spans="4:8">
      <c r="D530" s="27" t="str">
        <f>IFERROR(VLOOKUP(A530,テーブル11[],2,FALSE),"")</f>
        <v/>
      </c>
      <c r="E530" s="25" t="str">
        <f>IFERROR(VLOOKUP($B530,テーブル12[],2,FALSE),"")</f>
        <v/>
      </c>
      <c r="F530" s="25" t="str">
        <f>IFERROR(VLOOKUP($B530,テーブル12[],3,FALSE),"")</f>
        <v/>
      </c>
      <c r="G530" s="31" t="str">
        <f>IFERROR(VLOOKUP($B530,テーブル12[],4,FALSE),"")</f>
        <v/>
      </c>
      <c r="H530" s="25" t="str">
        <f t="shared" si="14"/>
        <v/>
      </c>
    </row>
    <row r="531" spans="4:8">
      <c r="D531" s="27" t="str">
        <f>IFERROR(VLOOKUP(A531,テーブル11[],2,FALSE),"")</f>
        <v/>
      </c>
      <c r="E531" s="25" t="str">
        <f>IFERROR(VLOOKUP($B531,テーブル12[],2,FALSE),"")</f>
        <v/>
      </c>
      <c r="F531" s="25" t="str">
        <f>IFERROR(VLOOKUP($B531,テーブル12[],3,FALSE),"")</f>
        <v/>
      </c>
      <c r="G531" s="31" t="str">
        <f>IFERROR(VLOOKUP($B531,テーブル12[],4,FALSE),"")</f>
        <v/>
      </c>
      <c r="H531" s="25" t="str">
        <f t="shared" si="14"/>
        <v/>
      </c>
    </row>
    <row r="532" spans="4:8">
      <c r="D532" s="27" t="str">
        <f>IFERROR(VLOOKUP(A532,テーブル11[],2,FALSE),"")</f>
        <v/>
      </c>
      <c r="E532" s="25" t="str">
        <f>IFERROR(VLOOKUP($B532,テーブル12[],2,FALSE),"")</f>
        <v/>
      </c>
      <c r="F532" s="25" t="str">
        <f>IFERROR(VLOOKUP($B532,テーブル12[],3,FALSE),"")</f>
        <v/>
      </c>
      <c r="G532" s="31" t="str">
        <f>IFERROR(VLOOKUP($B532,テーブル12[],4,FALSE),"")</f>
        <v/>
      </c>
      <c r="H532" s="25" t="str">
        <f t="shared" si="14"/>
        <v/>
      </c>
    </row>
    <row r="533" spans="4:8">
      <c r="D533" s="27" t="str">
        <f>IFERROR(VLOOKUP(A533,テーブル11[],2,FALSE),"")</f>
        <v/>
      </c>
      <c r="E533" s="25" t="str">
        <f>IFERROR(VLOOKUP($B533,テーブル12[],2,FALSE),"")</f>
        <v/>
      </c>
      <c r="F533" s="25" t="str">
        <f>IFERROR(VLOOKUP($B533,テーブル12[],3,FALSE),"")</f>
        <v/>
      </c>
      <c r="G533" s="31" t="str">
        <f>IFERROR(VLOOKUP($B533,テーブル12[],4,FALSE),"")</f>
        <v/>
      </c>
      <c r="H533" s="25" t="str">
        <f t="shared" si="14"/>
        <v/>
      </c>
    </row>
    <row r="534" spans="4:8">
      <c r="D534" s="27" t="str">
        <f>IFERROR(VLOOKUP(A534,テーブル11[],2,FALSE),"")</f>
        <v/>
      </c>
      <c r="E534" s="25" t="str">
        <f>IFERROR(VLOOKUP($B534,テーブル12[],2,FALSE),"")</f>
        <v/>
      </c>
      <c r="F534" s="25" t="str">
        <f>IFERROR(VLOOKUP($B534,テーブル12[],3,FALSE),"")</f>
        <v/>
      </c>
      <c r="G534" s="31" t="str">
        <f>IFERROR(VLOOKUP($B534,テーブル12[],4,FALSE),"")</f>
        <v/>
      </c>
      <c r="H534" s="25" t="str">
        <f t="shared" si="14"/>
        <v/>
      </c>
    </row>
    <row r="535" spans="4:8">
      <c r="D535" s="27" t="str">
        <f>IFERROR(VLOOKUP(A535,テーブル11[],2,FALSE),"")</f>
        <v/>
      </c>
      <c r="E535" s="25" t="str">
        <f>IFERROR(VLOOKUP($B535,テーブル12[],2,FALSE),"")</f>
        <v/>
      </c>
      <c r="F535" s="25" t="str">
        <f>IFERROR(VLOOKUP($B535,テーブル12[],3,FALSE),"")</f>
        <v/>
      </c>
      <c r="G535" s="31" t="str">
        <f>IFERROR(VLOOKUP($B535,テーブル12[],4,FALSE),"")</f>
        <v/>
      </c>
      <c r="H535" s="25" t="str">
        <f t="shared" si="14"/>
        <v/>
      </c>
    </row>
    <row r="536" spans="4:8">
      <c r="D536" s="27" t="str">
        <f>IFERROR(VLOOKUP(A536,テーブル11[],2,FALSE),"")</f>
        <v/>
      </c>
      <c r="E536" s="25" t="str">
        <f>IFERROR(VLOOKUP($B536,テーブル12[],2,FALSE),"")</f>
        <v/>
      </c>
      <c r="F536" s="25" t="str">
        <f>IFERROR(VLOOKUP($B536,テーブル12[],3,FALSE),"")</f>
        <v/>
      </c>
      <c r="G536" s="31" t="str">
        <f>IFERROR(VLOOKUP($B536,テーブル12[],4,FALSE),"")</f>
        <v/>
      </c>
      <c r="H536" s="25" t="str">
        <f t="shared" si="14"/>
        <v/>
      </c>
    </row>
    <row r="537" spans="4:8">
      <c r="D537" s="27" t="str">
        <f>IFERROR(VLOOKUP(A537,テーブル11[],2,FALSE),"")</f>
        <v/>
      </c>
      <c r="E537" s="25" t="str">
        <f>IFERROR(VLOOKUP($B537,テーブル12[],2,FALSE),"")</f>
        <v/>
      </c>
      <c r="F537" s="25" t="str">
        <f>IFERROR(VLOOKUP($B537,テーブル12[],3,FALSE),"")</f>
        <v/>
      </c>
      <c r="G537" s="31" t="str">
        <f>IFERROR(VLOOKUP($B537,テーブル12[],4,FALSE),"")</f>
        <v/>
      </c>
      <c r="H537" s="25" t="str">
        <f t="shared" si="14"/>
        <v/>
      </c>
    </row>
    <row r="538" spans="4:8">
      <c r="D538" s="27" t="str">
        <f>IFERROR(VLOOKUP(A538,テーブル11[],2,FALSE),"")</f>
        <v/>
      </c>
      <c r="E538" s="25" t="str">
        <f>IFERROR(VLOOKUP($B538,テーブル12[],2,FALSE),"")</f>
        <v/>
      </c>
      <c r="F538" s="25" t="str">
        <f>IFERROR(VLOOKUP($B538,テーブル12[],3,FALSE),"")</f>
        <v/>
      </c>
      <c r="G538" s="31" t="str">
        <f>IFERROR(VLOOKUP($B538,テーブル12[],4,FALSE),"")</f>
        <v/>
      </c>
      <c r="H538" s="25" t="str">
        <f t="shared" si="14"/>
        <v/>
      </c>
    </row>
    <row r="539" spans="4:8">
      <c r="D539" s="27" t="str">
        <f>IFERROR(VLOOKUP(A539,テーブル11[],2,FALSE),"")</f>
        <v/>
      </c>
      <c r="E539" s="25" t="str">
        <f>IFERROR(VLOOKUP($B539,テーブル12[],2,FALSE),"")</f>
        <v/>
      </c>
      <c r="F539" s="25" t="str">
        <f>IFERROR(VLOOKUP($B539,テーブル12[],3,FALSE),"")</f>
        <v/>
      </c>
      <c r="G539" s="31" t="str">
        <f>IFERROR(VLOOKUP($B539,テーブル12[],4,FALSE),"")</f>
        <v/>
      </c>
      <c r="H539" s="25" t="str">
        <f t="shared" si="14"/>
        <v/>
      </c>
    </row>
    <row r="540" spans="4:8">
      <c r="D540" s="27" t="str">
        <f>IFERROR(VLOOKUP(A540,テーブル11[],2,FALSE),"")</f>
        <v/>
      </c>
      <c r="E540" s="25" t="str">
        <f>IFERROR(VLOOKUP($B540,テーブル12[],2,FALSE),"")</f>
        <v/>
      </c>
      <c r="F540" s="25" t="str">
        <f>IFERROR(VLOOKUP($B540,テーブル12[],3,FALSE),"")</f>
        <v/>
      </c>
      <c r="G540" s="31" t="str">
        <f>IFERROR(VLOOKUP($B540,テーブル12[],4,FALSE),"")</f>
        <v/>
      </c>
      <c r="H540" s="25" t="str">
        <f t="shared" si="14"/>
        <v/>
      </c>
    </row>
    <row r="541" spans="4:8">
      <c r="D541" s="27" t="str">
        <f>IFERROR(VLOOKUP(A541,テーブル11[],2,FALSE),"")</f>
        <v/>
      </c>
      <c r="E541" s="25" t="str">
        <f>IFERROR(VLOOKUP($B541,テーブル12[],2,FALSE),"")</f>
        <v/>
      </c>
      <c r="F541" s="25" t="str">
        <f>IFERROR(VLOOKUP($B541,テーブル12[],3,FALSE),"")</f>
        <v/>
      </c>
      <c r="G541" s="31" t="str">
        <f>IFERROR(VLOOKUP($B541,テーブル12[],4,FALSE),"")</f>
        <v/>
      </c>
      <c r="H541" s="25" t="str">
        <f t="shared" si="14"/>
        <v/>
      </c>
    </row>
    <row r="542" spans="4:8">
      <c r="D542" s="27" t="str">
        <f>IFERROR(VLOOKUP(A542,テーブル11[],2,FALSE),"")</f>
        <v/>
      </c>
      <c r="E542" s="25" t="str">
        <f>IFERROR(VLOOKUP($B542,テーブル12[],2,FALSE),"")</f>
        <v/>
      </c>
      <c r="F542" s="25" t="str">
        <f>IFERROR(VLOOKUP($B542,テーブル12[],3,FALSE),"")</f>
        <v/>
      </c>
      <c r="G542" s="31" t="str">
        <f>IFERROR(VLOOKUP($B542,テーブル12[],4,FALSE),"")</f>
        <v/>
      </c>
      <c r="H542" s="25" t="str">
        <f t="shared" si="14"/>
        <v/>
      </c>
    </row>
    <row r="543" spans="4:8">
      <c r="D543" s="27" t="str">
        <f>IFERROR(VLOOKUP(A543,テーブル11[],2,FALSE),"")</f>
        <v/>
      </c>
      <c r="E543" s="25" t="str">
        <f>IFERROR(VLOOKUP($B543,テーブル12[],2,FALSE),"")</f>
        <v/>
      </c>
      <c r="F543" s="25" t="str">
        <f>IFERROR(VLOOKUP($B543,テーブル12[],3,FALSE),"")</f>
        <v/>
      </c>
      <c r="G543" s="31" t="str">
        <f>IFERROR(VLOOKUP($B543,テーブル12[],4,FALSE),"")</f>
        <v/>
      </c>
      <c r="H543" s="25" t="str">
        <f t="shared" si="14"/>
        <v/>
      </c>
    </row>
    <row r="544" spans="4:8">
      <c r="D544" s="27" t="str">
        <f>IFERROR(VLOOKUP(A544,テーブル11[],2,FALSE),"")</f>
        <v/>
      </c>
      <c r="E544" s="25" t="str">
        <f>IFERROR(VLOOKUP($B544,テーブル12[],2,FALSE),"")</f>
        <v/>
      </c>
      <c r="F544" s="25" t="str">
        <f>IFERROR(VLOOKUP($B544,テーブル12[],3,FALSE),"")</f>
        <v/>
      </c>
      <c r="G544" s="31" t="str">
        <f>IFERROR(VLOOKUP($B544,テーブル12[],4,FALSE),"")</f>
        <v/>
      </c>
      <c r="H544" s="25" t="str">
        <f t="shared" si="14"/>
        <v/>
      </c>
    </row>
    <row r="545" spans="4:8">
      <c r="D545" s="27" t="str">
        <f>IFERROR(VLOOKUP(A545,テーブル11[],2,FALSE),"")</f>
        <v/>
      </c>
      <c r="E545" s="25" t="str">
        <f>IFERROR(VLOOKUP($B545,テーブル12[],2,FALSE),"")</f>
        <v/>
      </c>
      <c r="F545" s="25" t="str">
        <f>IFERROR(VLOOKUP($B545,テーブル12[],3,FALSE),"")</f>
        <v/>
      </c>
      <c r="G545" s="31" t="str">
        <f>IFERROR(VLOOKUP($B545,テーブル12[],4,FALSE),"")</f>
        <v/>
      </c>
      <c r="H545" s="25" t="str">
        <f t="shared" si="14"/>
        <v/>
      </c>
    </row>
    <row r="546" spans="4:8">
      <c r="D546" s="27" t="str">
        <f>IFERROR(VLOOKUP(A546,テーブル11[],2,FALSE),"")</f>
        <v/>
      </c>
      <c r="E546" s="25" t="str">
        <f>IFERROR(VLOOKUP($B546,テーブル12[],2,FALSE),"")</f>
        <v/>
      </c>
      <c r="F546" s="25" t="str">
        <f>IFERROR(VLOOKUP($B546,テーブル12[],3,FALSE),"")</f>
        <v/>
      </c>
      <c r="G546" s="31" t="str">
        <f>IFERROR(VLOOKUP($B546,テーブル12[],4,FALSE),"")</f>
        <v/>
      </c>
      <c r="H546" s="25" t="str">
        <f t="shared" si="14"/>
        <v/>
      </c>
    </row>
    <row r="547" spans="4:8">
      <c r="D547" s="27" t="str">
        <f>IFERROR(VLOOKUP(A547,テーブル11[],2,FALSE),"")</f>
        <v/>
      </c>
      <c r="E547" s="25" t="str">
        <f>IFERROR(VLOOKUP($B547,テーブル12[],2,FALSE),"")</f>
        <v/>
      </c>
      <c r="F547" s="25" t="str">
        <f>IFERROR(VLOOKUP($B547,テーブル12[],3,FALSE),"")</f>
        <v/>
      </c>
      <c r="G547" s="31" t="str">
        <f>IFERROR(VLOOKUP($B547,テーブル12[],4,FALSE),"")</f>
        <v/>
      </c>
      <c r="H547" s="25" t="str">
        <f t="shared" si="14"/>
        <v/>
      </c>
    </row>
    <row r="548" spans="4:8">
      <c r="D548" s="27" t="str">
        <f>IFERROR(VLOOKUP(A548,テーブル11[],2,FALSE),"")</f>
        <v/>
      </c>
      <c r="E548" s="25" t="str">
        <f>IFERROR(VLOOKUP($B548,テーブル12[],2,FALSE),"")</f>
        <v/>
      </c>
      <c r="F548" s="25" t="str">
        <f>IFERROR(VLOOKUP($B548,テーブル12[],3,FALSE),"")</f>
        <v/>
      </c>
      <c r="G548" s="31" t="str">
        <f>IFERROR(VLOOKUP($B548,テーブル12[],4,FALSE),"")</f>
        <v/>
      </c>
      <c r="H548" s="25" t="str">
        <f t="shared" si="14"/>
        <v/>
      </c>
    </row>
    <row r="549" spans="4:8">
      <c r="D549" s="27" t="str">
        <f>IFERROR(VLOOKUP(A549,テーブル11[],2,FALSE),"")</f>
        <v/>
      </c>
      <c r="E549" s="25" t="str">
        <f>IFERROR(VLOOKUP($B549,テーブル12[],2,FALSE),"")</f>
        <v/>
      </c>
      <c r="F549" s="25" t="str">
        <f>IFERROR(VLOOKUP($B549,テーブル12[],3,FALSE),"")</f>
        <v/>
      </c>
      <c r="G549" s="31" t="str">
        <f>IFERROR(VLOOKUP($B549,テーブル12[],4,FALSE),"")</f>
        <v/>
      </c>
      <c r="H549" s="25" t="str">
        <f t="shared" si="14"/>
        <v/>
      </c>
    </row>
    <row r="550" spans="4:8">
      <c r="D550" s="27" t="str">
        <f>IFERROR(VLOOKUP(A550,テーブル11[],2,FALSE),"")</f>
        <v/>
      </c>
      <c r="E550" s="25" t="str">
        <f>IFERROR(VLOOKUP($B550,テーブル12[],2,FALSE),"")</f>
        <v/>
      </c>
      <c r="F550" s="25" t="str">
        <f>IFERROR(VLOOKUP($B550,テーブル12[],3,FALSE),"")</f>
        <v/>
      </c>
      <c r="G550" s="31" t="str">
        <f>IFERROR(VLOOKUP($B550,テーブル12[],4,FALSE),"")</f>
        <v/>
      </c>
      <c r="H550" s="25" t="str">
        <f t="shared" si="14"/>
        <v/>
      </c>
    </row>
    <row r="551" spans="4:8">
      <c r="D551" s="27" t="str">
        <f>IFERROR(VLOOKUP(A551,テーブル11[],2,FALSE),"")</f>
        <v/>
      </c>
      <c r="E551" s="25" t="str">
        <f>IFERROR(VLOOKUP($B551,テーブル12[],2,FALSE),"")</f>
        <v/>
      </c>
      <c r="F551" s="25" t="str">
        <f>IFERROR(VLOOKUP($B551,テーブル12[],3,FALSE),"")</f>
        <v/>
      </c>
      <c r="G551" s="31" t="str">
        <f>IFERROR(VLOOKUP($B551,テーブル12[],4,FALSE),"")</f>
        <v/>
      </c>
      <c r="H551" s="25" t="str">
        <f t="shared" si="14"/>
        <v/>
      </c>
    </row>
    <row r="552" spans="4:8">
      <c r="D552" s="27" t="str">
        <f>IFERROR(VLOOKUP(A552,テーブル11[],2,FALSE),"")</f>
        <v/>
      </c>
      <c r="E552" s="25" t="str">
        <f>IFERROR(VLOOKUP($B552,テーブル12[],2,FALSE),"")</f>
        <v/>
      </c>
      <c r="F552" s="25" t="str">
        <f>IFERROR(VLOOKUP($B552,テーブル12[],3,FALSE),"")</f>
        <v/>
      </c>
      <c r="G552" s="31" t="str">
        <f>IFERROR(VLOOKUP($B552,テーブル12[],4,FALSE),"")</f>
        <v/>
      </c>
      <c r="H552" s="25" t="str">
        <f t="shared" si="14"/>
        <v/>
      </c>
    </row>
    <row r="553" spans="4:8">
      <c r="D553" s="27" t="str">
        <f>IFERROR(VLOOKUP(A553,テーブル11[],2,FALSE),"")</f>
        <v/>
      </c>
      <c r="E553" s="25" t="str">
        <f>IFERROR(VLOOKUP($B553,テーブル12[],2,FALSE),"")</f>
        <v/>
      </c>
      <c r="F553" s="25" t="str">
        <f>IFERROR(VLOOKUP($B553,テーブル12[],3,FALSE),"")</f>
        <v/>
      </c>
      <c r="G553" s="31" t="str">
        <f>IFERROR(VLOOKUP($B553,テーブル12[],4,FALSE),"")</f>
        <v/>
      </c>
      <c r="H553" s="25" t="str">
        <f t="shared" si="14"/>
        <v/>
      </c>
    </row>
    <row r="554" spans="4:8">
      <c r="D554" s="27" t="str">
        <f>IFERROR(VLOOKUP(A554,テーブル11[],2,FALSE),"")</f>
        <v/>
      </c>
      <c r="E554" s="25" t="str">
        <f>IFERROR(VLOOKUP($B554,テーブル12[],2,FALSE),"")</f>
        <v/>
      </c>
      <c r="F554" s="25" t="str">
        <f>IFERROR(VLOOKUP($B554,テーブル12[],3,FALSE),"")</f>
        <v/>
      </c>
      <c r="G554" s="31" t="str">
        <f>IFERROR(VLOOKUP($B554,テーブル12[],4,FALSE),"")</f>
        <v/>
      </c>
      <c r="H554" s="25" t="str">
        <f t="shared" si="14"/>
        <v/>
      </c>
    </row>
    <row r="555" spans="4:8">
      <c r="D555" s="27" t="str">
        <f>IFERROR(VLOOKUP(A555,テーブル11[],2,FALSE),"")</f>
        <v/>
      </c>
      <c r="E555" s="25" t="str">
        <f>IFERROR(VLOOKUP($B555,テーブル12[],2,FALSE),"")</f>
        <v/>
      </c>
      <c r="F555" s="25" t="str">
        <f>IFERROR(VLOOKUP($B555,テーブル12[],3,FALSE),"")</f>
        <v/>
      </c>
      <c r="G555" s="31" t="str">
        <f>IFERROR(VLOOKUP($B555,テーブル12[],4,FALSE),"")</f>
        <v/>
      </c>
      <c r="H555" s="25" t="str">
        <f t="shared" si="14"/>
        <v/>
      </c>
    </row>
    <row r="556" spans="4:8">
      <c r="D556" s="27" t="str">
        <f>IFERROR(VLOOKUP(A556,テーブル11[],2,FALSE),"")</f>
        <v/>
      </c>
      <c r="E556" s="25" t="str">
        <f>IFERROR(VLOOKUP($B556,テーブル12[],2,FALSE),"")</f>
        <v/>
      </c>
      <c r="F556" s="25" t="str">
        <f>IFERROR(VLOOKUP($B556,テーブル12[],3,FALSE),"")</f>
        <v/>
      </c>
      <c r="G556" s="31" t="str">
        <f>IFERROR(VLOOKUP($B556,テーブル12[],4,FALSE),"")</f>
        <v/>
      </c>
      <c r="H556" s="25" t="str">
        <f t="shared" si="14"/>
        <v/>
      </c>
    </row>
    <row r="557" spans="4:8">
      <c r="D557" s="27" t="str">
        <f>IFERROR(VLOOKUP(A557,テーブル11[],2,FALSE),"")</f>
        <v/>
      </c>
      <c r="E557" s="25" t="str">
        <f>IFERROR(VLOOKUP($B557,テーブル12[],2,FALSE),"")</f>
        <v/>
      </c>
      <c r="F557" s="25" t="str">
        <f>IFERROR(VLOOKUP($B557,テーブル12[],3,FALSE),"")</f>
        <v/>
      </c>
      <c r="G557" s="31" t="str">
        <f>IFERROR(VLOOKUP($B557,テーブル12[],4,FALSE),"")</f>
        <v/>
      </c>
      <c r="H557" s="25" t="str">
        <f t="shared" si="14"/>
        <v/>
      </c>
    </row>
    <row r="558" spans="4:8">
      <c r="D558" s="27" t="str">
        <f>IFERROR(VLOOKUP(A558,テーブル11[],2,FALSE),"")</f>
        <v/>
      </c>
      <c r="E558" s="25" t="str">
        <f>IFERROR(VLOOKUP($B558,テーブル12[],2,FALSE),"")</f>
        <v/>
      </c>
      <c r="F558" s="25" t="str">
        <f>IFERROR(VLOOKUP($B558,テーブル12[],3,FALSE),"")</f>
        <v/>
      </c>
      <c r="G558" s="31" t="str">
        <f>IFERROR(VLOOKUP($B558,テーブル12[],4,FALSE),"")</f>
        <v/>
      </c>
      <c r="H558" s="25" t="str">
        <f t="shared" si="14"/>
        <v/>
      </c>
    </row>
    <row r="559" spans="4:8">
      <c r="D559" s="27" t="str">
        <f>IFERROR(VLOOKUP(A559,テーブル11[],2,FALSE),"")</f>
        <v/>
      </c>
      <c r="E559" s="25" t="str">
        <f>IFERROR(VLOOKUP($B559,テーブル12[],2,FALSE),"")</f>
        <v/>
      </c>
      <c r="F559" s="25" t="str">
        <f>IFERROR(VLOOKUP($B559,テーブル12[],3,FALSE),"")</f>
        <v/>
      </c>
      <c r="G559" s="31" t="str">
        <f>IFERROR(VLOOKUP($B559,テーブル12[],4,FALSE),"")</f>
        <v/>
      </c>
      <c r="H559" s="25" t="str">
        <f t="shared" si="14"/>
        <v/>
      </c>
    </row>
    <row r="560" spans="4:8">
      <c r="D560" s="27" t="str">
        <f>IFERROR(VLOOKUP(A560,テーブル11[],2,FALSE),"")</f>
        <v/>
      </c>
      <c r="E560" s="25" t="str">
        <f>IFERROR(VLOOKUP($B560,テーブル12[],2,FALSE),"")</f>
        <v/>
      </c>
      <c r="F560" s="25" t="str">
        <f>IFERROR(VLOOKUP($B560,テーブル12[],3,FALSE),"")</f>
        <v/>
      </c>
      <c r="G560" s="31" t="str">
        <f>IFERROR(VLOOKUP($B560,テーブル12[],4,FALSE),"")</f>
        <v/>
      </c>
      <c r="H560" s="25" t="str">
        <f t="shared" si="14"/>
        <v/>
      </c>
    </row>
    <row r="561" spans="4:8">
      <c r="D561" s="27" t="str">
        <f>IFERROR(VLOOKUP(A561,テーブル11[],2,FALSE),"")</f>
        <v/>
      </c>
      <c r="E561" s="25" t="str">
        <f>IFERROR(VLOOKUP($B561,テーブル12[],2,FALSE),"")</f>
        <v/>
      </c>
      <c r="F561" s="25" t="str">
        <f>IFERROR(VLOOKUP($B561,テーブル12[],3,FALSE),"")</f>
        <v/>
      </c>
      <c r="G561" s="31" t="str">
        <f>IFERROR(VLOOKUP($B561,テーブル12[],4,FALSE),"")</f>
        <v/>
      </c>
      <c r="H561" s="25" t="str">
        <f t="shared" si="14"/>
        <v/>
      </c>
    </row>
    <row r="562" spans="4:8">
      <c r="D562" s="27" t="str">
        <f>IFERROR(VLOOKUP(A562,テーブル11[],2,FALSE),"")</f>
        <v/>
      </c>
      <c r="E562" s="25" t="str">
        <f>IFERROR(VLOOKUP($B562,テーブル12[],2,FALSE),"")</f>
        <v/>
      </c>
      <c r="F562" s="25" t="str">
        <f>IFERROR(VLOOKUP($B562,テーブル12[],3,FALSE),"")</f>
        <v/>
      </c>
      <c r="G562" s="31" t="str">
        <f>IFERROR(VLOOKUP($B562,テーブル12[],4,FALSE),"")</f>
        <v/>
      </c>
      <c r="H562" s="25" t="str">
        <f t="shared" si="14"/>
        <v/>
      </c>
    </row>
    <row r="563" spans="4:8">
      <c r="D563" s="27" t="str">
        <f>IFERROR(VLOOKUP(A563,テーブル11[],2,FALSE),"")</f>
        <v/>
      </c>
      <c r="E563" s="25" t="str">
        <f>IFERROR(VLOOKUP($B563,テーブル12[],2,FALSE),"")</f>
        <v/>
      </c>
      <c r="F563" s="25" t="str">
        <f>IFERROR(VLOOKUP($B563,テーブル12[],3,FALSE),"")</f>
        <v/>
      </c>
      <c r="G563" s="31" t="str">
        <f>IFERROR(VLOOKUP($B563,テーブル12[],4,FALSE),"")</f>
        <v/>
      </c>
      <c r="H563" s="25" t="str">
        <f t="shared" si="14"/>
        <v/>
      </c>
    </row>
    <row r="564" spans="4:8">
      <c r="D564" s="27" t="str">
        <f>IFERROR(VLOOKUP(A564,テーブル11[],2,FALSE),"")</f>
        <v/>
      </c>
      <c r="E564" s="25" t="str">
        <f>IFERROR(VLOOKUP($B564,テーブル12[],2,FALSE),"")</f>
        <v/>
      </c>
      <c r="F564" s="25" t="str">
        <f>IFERROR(VLOOKUP($B564,テーブル12[],3,FALSE),"")</f>
        <v/>
      </c>
      <c r="G564" s="31" t="str">
        <f>IFERROR(VLOOKUP($B564,テーブル12[],4,FALSE),"")</f>
        <v/>
      </c>
      <c r="H564" s="25" t="str">
        <f t="shared" si="14"/>
        <v/>
      </c>
    </row>
    <row r="565" spans="4:8">
      <c r="D565" s="27" t="str">
        <f>IFERROR(VLOOKUP(A565,テーブル11[],2,FALSE),"")</f>
        <v/>
      </c>
      <c r="E565" s="25" t="str">
        <f>IFERROR(VLOOKUP($B565,テーブル12[],2,FALSE),"")</f>
        <v/>
      </c>
      <c r="F565" s="25" t="str">
        <f>IFERROR(VLOOKUP($B565,テーブル12[],3,FALSE),"")</f>
        <v/>
      </c>
      <c r="G565" s="31" t="str">
        <f>IFERROR(VLOOKUP($B565,テーブル12[],4,FALSE),"")</f>
        <v/>
      </c>
      <c r="H565" s="25" t="str">
        <f t="shared" si="14"/>
        <v/>
      </c>
    </row>
    <row r="566" spans="4:8">
      <c r="D566" s="27" t="str">
        <f>IFERROR(VLOOKUP(A566,テーブル11[],2,FALSE),"")</f>
        <v/>
      </c>
      <c r="E566" s="25" t="str">
        <f>IFERROR(VLOOKUP($B566,テーブル12[],2,FALSE),"")</f>
        <v/>
      </c>
      <c r="F566" s="25" t="str">
        <f>IFERROR(VLOOKUP($B566,テーブル12[],3,FALSE),"")</f>
        <v/>
      </c>
      <c r="G566" s="31" t="str">
        <f>IFERROR(VLOOKUP($B566,テーブル12[],4,FALSE),"")</f>
        <v/>
      </c>
      <c r="H566" s="25" t="str">
        <f t="shared" si="14"/>
        <v/>
      </c>
    </row>
    <row r="567" spans="4:8">
      <c r="D567" s="27" t="str">
        <f>IFERROR(VLOOKUP(A567,テーブル11[],2,FALSE),"")</f>
        <v/>
      </c>
      <c r="E567" s="25" t="str">
        <f>IFERROR(VLOOKUP($B567,テーブル12[],2,FALSE),"")</f>
        <v/>
      </c>
      <c r="F567" s="25" t="str">
        <f>IFERROR(VLOOKUP($B567,テーブル12[],3,FALSE),"")</f>
        <v/>
      </c>
      <c r="G567" s="31" t="str">
        <f>IFERROR(VLOOKUP($B567,テーブル12[],4,FALSE),"")</f>
        <v/>
      </c>
      <c r="H567" s="25" t="str">
        <f t="shared" si="14"/>
        <v/>
      </c>
    </row>
    <row r="568" spans="4:8">
      <c r="D568" s="27" t="str">
        <f>IFERROR(VLOOKUP(A568,テーブル11[],2,FALSE),"")</f>
        <v/>
      </c>
      <c r="E568" s="25" t="str">
        <f>IFERROR(VLOOKUP($B568,テーブル12[],2,FALSE),"")</f>
        <v/>
      </c>
      <c r="F568" s="25" t="str">
        <f>IFERROR(VLOOKUP($B568,テーブル12[],3,FALSE),"")</f>
        <v/>
      </c>
      <c r="G568" s="31" t="str">
        <f>IFERROR(VLOOKUP($B568,テーブル12[],4,FALSE),"")</f>
        <v/>
      </c>
      <c r="H568" s="25" t="str">
        <f t="shared" si="14"/>
        <v/>
      </c>
    </row>
    <row r="569" spans="4:8">
      <c r="D569" s="27" t="str">
        <f>IFERROR(VLOOKUP(A569,テーブル11[],2,FALSE),"")</f>
        <v/>
      </c>
      <c r="E569" s="25" t="str">
        <f>IFERROR(VLOOKUP($B569,テーブル12[],2,FALSE),"")</f>
        <v/>
      </c>
      <c r="F569" s="25" t="str">
        <f>IFERROR(VLOOKUP($B569,テーブル12[],3,FALSE),"")</f>
        <v/>
      </c>
      <c r="G569" s="31" t="str">
        <f>IFERROR(VLOOKUP($B569,テーブル12[],4,FALSE),"")</f>
        <v/>
      </c>
      <c r="H569" s="25" t="str">
        <f t="shared" si="14"/>
        <v/>
      </c>
    </row>
    <row r="570" spans="4:8">
      <c r="D570" s="27" t="str">
        <f>IFERROR(VLOOKUP(A570,テーブル11[],2,FALSE),"")</f>
        <v/>
      </c>
      <c r="E570" s="25" t="str">
        <f>IFERROR(VLOOKUP($B570,テーブル12[],2,FALSE),"")</f>
        <v/>
      </c>
      <c r="F570" s="25" t="str">
        <f>IFERROR(VLOOKUP($B570,テーブル12[],3,FALSE),"")</f>
        <v/>
      </c>
      <c r="G570" s="31" t="str">
        <f>IFERROR(VLOOKUP($B570,テーブル12[],4,FALSE),"")</f>
        <v/>
      </c>
      <c r="H570" s="25" t="str">
        <f t="shared" si="14"/>
        <v/>
      </c>
    </row>
    <row r="571" spans="4:8">
      <c r="D571" s="27" t="str">
        <f>IFERROR(VLOOKUP(A571,テーブル11[],2,FALSE),"")</f>
        <v/>
      </c>
      <c r="E571" s="25" t="str">
        <f>IFERROR(VLOOKUP($B571,テーブル12[],2,FALSE),"")</f>
        <v/>
      </c>
      <c r="F571" s="25" t="str">
        <f>IFERROR(VLOOKUP($B571,テーブル12[],3,FALSE),"")</f>
        <v/>
      </c>
      <c r="G571" s="31" t="str">
        <f>IFERROR(VLOOKUP($B571,テーブル12[],4,FALSE),"")</f>
        <v/>
      </c>
      <c r="H571" s="25" t="str">
        <f t="shared" si="14"/>
        <v/>
      </c>
    </row>
    <row r="572" spans="4:8">
      <c r="D572" s="27" t="str">
        <f>IFERROR(VLOOKUP(A572,テーブル11[],2,FALSE),"")</f>
        <v/>
      </c>
      <c r="E572" s="25" t="str">
        <f>IFERROR(VLOOKUP($B572,テーブル12[],2,FALSE),"")</f>
        <v/>
      </c>
      <c r="F572" s="25" t="str">
        <f>IFERROR(VLOOKUP($B572,テーブル12[],3,FALSE),"")</f>
        <v/>
      </c>
      <c r="G572" s="31" t="str">
        <f>IFERROR(VLOOKUP($B572,テーブル12[],4,FALSE),"")</f>
        <v/>
      </c>
      <c r="H572" s="25" t="str">
        <f t="shared" si="14"/>
        <v/>
      </c>
    </row>
    <row r="573" spans="4:8">
      <c r="D573" s="27" t="str">
        <f>IFERROR(VLOOKUP(A573,テーブル11[],2,FALSE),"")</f>
        <v/>
      </c>
      <c r="E573" s="25" t="str">
        <f>IFERROR(VLOOKUP($B573,テーブル12[],2,FALSE),"")</f>
        <v/>
      </c>
      <c r="F573" s="25" t="str">
        <f>IFERROR(VLOOKUP($B573,テーブル12[],3,FALSE),"")</f>
        <v/>
      </c>
      <c r="G573" s="31" t="str">
        <f>IFERROR(VLOOKUP($B573,テーブル12[],4,FALSE),"")</f>
        <v/>
      </c>
      <c r="H573" s="25" t="str">
        <f t="shared" si="14"/>
        <v/>
      </c>
    </row>
    <row r="574" spans="4:8">
      <c r="D574" s="27" t="str">
        <f>IFERROR(VLOOKUP(A574,テーブル11[],2,FALSE),"")</f>
        <v/>
      </c>
      <c r="E574" s="25" t="str">
        <f>IFERROR(VLOOKUP($B574,テーブル12[],2,FALSE),"")</f>
        <v/>
      </c>
      <c r="F574" s="25" t="str">
        <f>IFERROR(VLOOKUP($B574,テーブル12[],3,FALSE),"")</f>
        <v/>
      </c>
      <c r="G574" s="31" t="str">
        <f>IFERROR(VLOOKUP($B574,テーブル12[],4,FALSE),"")</f>
        <v/>
      </c>
      <c r="H574" s="25" t="str">
        <f t="shared" si="14"/>
        <v/>
      </c>
    </row>
    <row r="575" spans="4:8">
      <c r="D575" s="27" t="str">
        <f>IFERROR(VLOOKUP(A575,テーブル11[],2,FALSE),"")</f>
        <v/>
      </c>
      <c r="E575" s="25" t="str">
        <f>IFERROR(VLOOKUP($B575,テーブル12[],2,FALSE),"")</f>
        <v/>
      </c>
      <c r="F575" s="25" t="str">
        <f>IFERROR(VLOOKUP($B575,テーブル12[],3,FALSE),"")</f>
        <v/>
      </c>
      <c r="G575" s="31" t="str">
        <f>IFERROR(VLOOKUP($B575,テーブル12[],4,FALSE),"")</f>
        <v/>
      </c>
      <c r="H575" s="25" t="str">
        <f t="shared" si="14"/>
        <v/>
      </c>
    </row>
    <row r="576" spans="4:8">
      <c r="D576" s="27" t="str">
        <f>IFERROR(VLOOKUP(A576,テーブル11[],2,FALSE),"")</f>
        <v/>
      </c>
      <c r="E576" s="25" t="str">
        <f>IFERROR(VLOOKUP($B576,テーブル12[],2,FALSE),"")</f>
        <v/>
      </c>
      <c r="F576" s="25" t="str">
        <f>IFERROR(VLOOKUP($B576,テーブル12[],3,FALSE),"")</f>
        <v/>
      </c>
      <c r="G576" s="31" t="str">
        <f>IFERROR(VLOOKUP($B576,テーブル12[],4,FALSE),"")</f>
        <v/>
      </c>
      <c r="H576" s="25" t="str">
        <f t="shared" si="14"/>
        <v/>
      </c>
    </row>
    <row r="577" spans="4:8">
      <c r="D577" s="27" t="str">
        <f>IFERROR(VLOOKUP(A577,テーブル11[],2,FALSE),"")</f>
        <v/>
      </c>
      <c r="E577" s="25" t="str">
        <f>IFERROR(VLOOKUP($B577,テーブル12[],2,FALSE),"")</f>
        <v/>
      </c>
      <c r="F577" s="25" t="str">
        <f>IFERROR(VLOOKUP($B577,テーブル12[],3,FALSE),"")</f>
        <v/>
      </c>
      <c r="G577" s="31" t="str">
        <f>IFERROR(VLOOKUP($B577,テーブル12[],4,FALSE),"")</f>
        <v/>
      </c>
      <c r="H577" s="25" t="str">
        <f t="shared" si="14"/>
        <v/>
      </c>
    </row>
    <row r="578" spans="4:8">
      <c r="D578" s="27" t="str">
        <f>IFERROR(VLOOKUP(A578,テーブル11[],2,FALSE),"")</f>
        <v/>
      </c>
      <c r="E578" s="25" t="str">
        <f>IFERROR(VLOOKUP($B578,テーブル12[],2,FALSE),"")</f>
        <v/>
      </c>
      <c r="F578" s="25" t="str">
        <f>IFERROR(VLOOKUP($B578,テーブル12[],3,FALSE),"")</f>
        <v/>
      </c>
      <c r="G578" s="31" t="str">
        <f>IFERROR(VLOOKUP($B578,テーブル12[],4,FALSE),"")</f>
        <v/>
      </c>
      <c r="H578" s="25" t="str">
        <f t="shared" ref="H578:H641" si="15">IF(C578=0,"",C578)</f>
        <v/>
      </c>
    </row>
    <row r="579" spans="4:8">
      <c r="D579" s="27" t="str">
        <f>IFERROR(VLOOKUP(A579,テーブル11[],2,FALSE),"")</f>
        <v/>
      </c>
      <c r="E579" s="25" t="str">
        <f>IFERROR(VLOOKUP($B579,テーブル12[],2,FALSE),"")</f>
        <v/>
      </c>
      <c r="F579" s="25" t="str">
        <f>IFERROR(VLOOKUP($B579,テーブル12[],3,FALSE),"")</f>
        <v/>
      </c>
      <c r="G579" s="31" t="str">
        <f>IFERROR(VLOOKUP($B579,テーブル12[],4,FALSE),"")</f>
        <v/>
      </c>
      <c r="H579" s="25" t="str">
        <f t="shared" si="15"/>
        <v/>
      </c>
    </row>
    <row r="580" spans="4:8">
      <c r="D580" s="27" t="str">
        <f>IFERROR(VLOOKUP(A580,テーブル11[],2,FALSE),"")</f>
        <v/>
      </c>
      <c r="E580" s="25" t="str">
        <f>IFERROR(VLOOKUP($B580,テーブル12[],2,FALSE),"")</f>
        <v/>
      </c>
      <c r="F580" s="25" t="str">
        <f>IFERROR(VLOOKUP($B580,テーブル12[],3,FALSE),"")</f>
        <v/>
      </c>
      <c r="G580" s="31" t="str">
        <f>IFERROR(VLOOKUP($B580,テーブル12[],4,FALSE),"")</f>
        <v/>
      </c>
      <c r="H580" s="25" t="str">
        <f t="shared" si="15"/>
        <v/>
      </c>
    </row>
    <row r="581" spans="4:8">
      <c r="D581" s="27" t="str">
        <f>IFERROR(VLOOKUP(A581,テーブル11[],2,FALSE),"")</f>
        <v/>
      </c>
      <c r="E581" s="25" t="str">
        <f>IFERROR(VLOOKUP($B581,テーブル12[],2,FALSE),"")</f>
        <v/>
      </c>
      <c r="F581" s="25" t="str">
        <f>IFERROR(VLOOKUP($B581,テーブル12[],3,FALSE),"")</f>
        <v/>
      </c>
      <c r="G581" s="31" t="str">
        <f>IFERROR(VLOOKUP($B581,テーブル12[],4,FALSE),"")</f>
        <v/>
      </c>
      <c r="H581" s="25" t="str">
        <f t="shared" si="15"/>
        <v/>
      </c>
    </row>
    <row r="582" spans="4:8">
      <c r="D582" s="27" t="str">
        <f>IFERROR(VLOOKUP(A582,テーブル11[],2,FALSE),"")</f>
        <v/>
      </c>
      <c r="E582" s="25" t="str">
        <f>IFERROR(VLOOKUP($B582,テーブル12[],2,FALSE),"")</f>
        <v/>
      </c>
      <c r="F582" s="25" t="str">
        <f>IFERROR(VLOOKUP($B582,テーブル12[],3,FALSE),"")</f>
        <v/>
      </c>
      <c r="G582" s="31" t="str">
        <f>IFERROR(VLOOKUP($B582,テーブル12[],4,FALSE),"")</f>
        <v/>
      </c>
      <c r="H582" s="25" t="str">
        <f t="shared" si="15"/>
        <v/>
      </c>
    </row>
    <row r="583" spans="4:8">
      <c r="D583" s="27" t="str">
        <f>IFERROR(VLOOKUP(A583,テーブル11[],2,FALSE),"")</f>
        <v/>
      </c>
      <c r="E583" s="25" t="str">
        <f>IFERROR(VLOOKUP($B583,テーブル12[],2,FALSE),"")</f>
        <v/>
      </c>
      <c r="F583" s="25" t="str">
        <f>IFERROR(VLOOKUP($B583,テーブル12[],3,FALSE),"")</f>
        <v/>
      </c>
      <c r="G583" s="31" t="str">
        <f>IFERROR(VLOOKUP($B583,テーブル12[],4,FALSE),"")</f>
        <v/>
      </c>
      <c r="H583" s="25" t="str">
        <f t="shared" si="15"/>
        <v/>
      </c>
    </row>
    <row r="584" spans="4:8">
      <c r="D584" s="27" t="str">
        <f>IFERROR(VLOOKUP(A584,テーブル11[],2,FALSE),"")</f>
        <v/>
      </c>
      <c r="E584" s="25" t="str">
        <f>IFERROR(VLOOKUP($B584,テーブル12[],2,FALSE),"")</f>
        <v/>
      </c>
      <c r="F584" s="25" t="str">
        <f>IFERROR(VLOOKUP($B584,テーブル12[],3,FALSE),"")</f>
        <v/>
      </c>
      <c r="G584" s="31" t="str">
        <f>IFERROR(VLOOKUP($B584,テーブル12[],4,FALSE),"")</f>
        <v/>
      </c>
      <c r="H584" s="25" t="str">
        <f t="shared" si="15"/>
        <v/>
      </c>
    </row>
    <row r="585" spans="4:8">
      <c r="D585" s="27" t="str">
        <f>IFERROR(VLOOKUP(A585,テーブル11[],2,FALSE),"")</f>
        <v/>
      </c>
      <c r="E585" s="25" t="str">
        <f>IFERROR(VLOOKUP($B585,テーブル12[],2,FALSE),"")</f>
        <v/>
      </c>
      <c r="F585" s="25" t="str">
        <f>IFERROR(VLOOKUP($B585,テーブル12[],3,FALSE),"")</f>
        <v/>
      </c>
      <c r="G585" s="31" t="str">
        <f>IFERROR(VLOOKUP($B585,テーブル12[],4,FALSE),"")</f>
        <v/>
      </c>
      <c r="H585" s="25" t="str">
        <f t="shared" si="15"/>
        <v/>
      </c>
    </row>
    <row r="586" spans="4:8">
      <c r="D586" s="27" t="str">
        <f>IFERROR(VLOOKUP(A586,テーブル11[],2,FALSE),"")</f>
        <v/>
      </c>
      <c r="E586" s="25" t="str">
        <f>IFERROR(VLOOKUP($B586,テーブル12[],2,FALSE),"")</f>
        <v/>
      </c>
      <c r="F586" s="25" t="str">
        <f>IFERROR(VLOOKUP($B586,テーブル12[],3,FALSE),"")</f>
        <v/>
      </c>
      <c r="G586" s="31" t="str">
        <f>IFERROR(VLOOKUP($B586,テーブル12[],4,FALSE),"")</f>
        <v/>
      </c>
      <c r="H586" s="25" t="str">
        <f t="shared" si="15"/>
        <v/>
      </c>
    </row>
    <row r="587" spans="4:8">
      <c r="D587" s="27" t="str">
        <f>IFERROR(VLOOKUP(A587,テーブル11[],2,FALSE),"")</f>
        <v/>
      </c>
      <c r="E587" s="25" t="str">
        <f>IFERROR(VLOOKUP($B587,テーブル12[],2,FALSE),"")</f>
        <v/>
      </c>
      <c r="F587" s="25" t="str">
        <f>IFERROR(VLOOKUP($B587,テーブル12[],3,FALSE),"")</f>
        <v/>
      </c>
      <c r="G587" s="31" t="str">
        <f>IFERROR(VLOOKUP($B587,テーブル12[],4,FALSE),"")</f>
        <v/>
      </c>
      <c r="H587" s="25" t="str">
        <f t="shared" si="15"/>
        <v/>
      </c>
    </row>
    <row r="588" spans="4:8">
      <c r="D588" s="27" t="str">
        <f>IFERROR(VLOOKUP(A588,テーブル11[],2,FALSE),"")</f>
        <v/>
      </c>
      <c r="E588" s="25" t="str">
        <f>IFERROR(VLOOKUP($B588,テーブル12[],2,FALSE),"")</f>
        <v/>
      </c>
      <c r="F588" s="25" t="str">
        <f>IFERROR(VLOOKUP($B588,テーブル12[],3,FALSE),"")</f>
        <v/>
      </c>
      <c r="G588" s="31" t="str">
        <f>IFERROR(VLOOKUP($B588,テーブル12[],4,FALSE),"")</f>
        <v/>
      </c>
      <c r="H588" s="25" t="str">
        <f t="shared" si="15"/>
        <v/>
      </c>
    </row>
    <row r="589" spans="4:8">
      <c r="D589" s="27" t="str">
        <f>IFERROR(VLOOKUP(A589,テーブル11[],2,FALSE),"")</f>
        <v/>
      </c>
      <c r="E589" s="25" t="str">
        <f>IFERROR(VLOOKUP($B589,テーブル12[],2,FALSE),"")</f>
        <v/>
      </c>
      <c r="F589" s="25" t="str">
        <f>IFERROR(VLOOKUP($B589,テーブル12[],3,FALSE),"")</f>
        <v/>
      </c>
      <c r="G589" s="31" t="str">
        <f>IFERROR(VLOOKUP($B589,テーブル12[],4,FALSE),"")</f>
        <v/>
      </c>
      <c r="H589" s="25" t="str">
        <f t="shared" si="15"/>
        <v/>
      </c>
    </row>
    <row r="590" spans="4:8">
      <c r="D590" s="27" t="str">
        <f>IFERROR(VLOOKUP(A590,テーブル11[],2,FALSE),"")</f>
        <v/>
      </c>
      <c r="E590" s="25" t="str">
        <f>IFERROR(VLOOKUP($B590,テーブル12[],2,FALSE),"")</f>
        <v/>
      </c>
      <c r="F590" s="25" t="str">
        <f>IFERROR(VLOOKUP($B590,テーブル12[],3,FALSE),"")</f>
        <v/>
      </c>
      <c r="G590" s="31" t="str">
        <f>IFERROR(VLOOKUP($B590,テーブル12[],4,FALSE),"")</f>
        <v/>
      </c>
      <c r="H590" s="25" t="str">
        <f t="shared" si="15"/>
        <v/>
      </c>
    </row>
    <row r="591" spans="4:8">
      <c r="D591" s="27" t="str">
        <f>IFERROR(VLOOKUP(A591,テーブル11[],2,FALSE),"")</f>
        <v/>
      </c>
      <c r="E591" s="25" t="str">
        <f>IFERROR(VLOOKUP($B591,テーブル12[],2,FALSE),"")</f>
        <v/>
      </c>
      <c r="F591" s="25" t="str">
        <f>IFERROR(VLOOKUP($B591,テーブル12[],3,FALSE),"")</f>
        <v/>
      </c>
      <c r="G591" s="31" t="str">
        <f>IFERROR(VLOOKUP($B591,テーブル12[],4,FALSE),"")</f>
        <v/>
      </c>
      <c r="H591" s="25" t="str">
        <f t="shared" si="15"/>
        <v/>
      </c>
    </row>
    <row r="592" spans="4:8">
      <c r="D592" s="27" t="str">
        <f>IFERROR(VLOOKUP(A592,テーブル11[],2,FALSE),"")</f>
        <v/>
      </c>
      <c r="E592" s="25" t="str">
        <f>IFERROR(VLOOKUP($B592,テーブル12[],2,FALSE),"")</f>
        <v/>
      </c>
      <c r="F592" s="25" t="str">
        <f>IFERROR(VLOOKUP($B592,テーブル12[],3,FALSE),"")</f>
        <v/>
      </c>
      <c r="G592" s="31" t="str">
        <f>IFERROR(VLOOKUP($B592,テーブル12[],4,FALSE),"")</f>
        <v/>
      </c>
      <c r="H592" s="25" t="str">
        <f t="shared" si="15"/>
        <v/>
      </c>
    </row>
    <row r="593" spans="4:8">
      <c r="D593" s="27" t="str">
        <f>IFERROR(VLOOKUP(A593,テーブル11[],2,FALSE),"")</f>
        <v/>
      </c>
      <c r="E593" s="25" t="str">
        <f>IFERROR(VLOOKUP($B593,テーブル12[],2,FALSE),"")</f>
        <v/>
      </c>
      <c r="F593" s="25" t="str">
        <f>IFERROR(VLOOKUP($B593,テーブル12[],3,FALSE),"")</f>
        <v/>
      </c>
      <c r="G593" s="31" t="str">
        <f>IFERROR(VLOOKUP($B593,テーブル12[],4,FALSE),"")</f>
        <v/>
      </c>
      <c r="H593" s="25" t="str">
        <f t="shared" si="15"/>
        <v/>
      </c>
    </row>
    <row r="594" spans="4:8">
      <c r="D594" s="27" t="str">
        <f>IFERROR(VLOOKUP(A594,テーブル11[],2,FALSE),"")</f>
        <v/>
      </c>
      <c r="E594" s="25" t="str">
        <f>IFERROR(VLOOKUP($B594,テーブル12[],2,FALSE),"")</f>
        <v/>
      </c>
      <c r="F594" s="25" t="str">
        <f>IFERROR(VLOOKUP($B594,テーブル12[],3,FALSE),"")</f>
        <v/>
      </c>
      <c r="G594" s="31" t="str">
        <f>IFERROR(VLOOKUP($B594,テーブル12[],4,FALSE),"")</f>
        <v/>
      </c>
      <c r="H594" s="25" t="str">
        <f t="shared" si="15"/>
        <v/>
      </c>
    </row>
    <row r="595" spans="4:8">
      <c r="D595" s="27" t="str">
        <f>IFERROR(VLOOKUP(A595,テーブル11[],2,FALSE),"")</f>
        <v/>
      </c>
      <c r="E595" s="25" t="str">
        <f>IFERROR(VLOOKUP($B595,テーブル12[],2,FALSE),"")</f>
        <v/>
      </c>
      <c r="F595" s="25" t="str">
        <f>IFERROR(VLOOKUP($B595,テーブル12[],3,FALSE),"")</f>
        <v/>
      </c>
      <c r="G595" s="31" t="str">
        <f>IFERROR(VLOOKUP($B595,テーブル12[],4,FALSE),"")</f>
        <v/>
      </c>
      <c r="H595" s="25" t="str">
        <f t="shared" si="15"/>
        <v/>
      </c>
    </row>
    <row r="596" spans="4:8">
      <c r="D596" s="27" t="str">
        <f>IFERROR(VLOOKUP(A596,テーブル11[],2,FALSE),"")</f>
        <v/>
      </c>
      <c r="E596" s="25" t="str">
        <f>IFERROR(VLOOKUP($B596,テーブル12[],2,FALSE),"")</f>
        <v/>
      </c>
      <c r="F596" s="25" t="str">
        <f>IFERROR(VLOOKUP($B596,テーブル12[],3,FALSE),"")</f>
        <v/>
      </c>
      <c r="G596" s="31" t="str">
        <f>IFERROR(VLOOKUP($B596,テーブル12[],4,FALSE),"")</f>
        <v/>
      </c>
      <c r="H596" s="25" t="str">
        <f t="shared" si="15"/>
        <v/>
      </c>
    </row>
    <row r="597" spans="4:8">
      <c r="D597" s="27" t="str">
        <f>IFERROR(VLOOKUP(A597,テーブル11[],2,FALSE),"")</f>
        <v/>
      </c>
      <c r="E597" s="25" t="str">
        <f>IFERROR(VLOOKUP($B597,テーブル12[],2,FALSE),"")</f>
        <v/>
      </c>
      <c r="F597" s="25" t="str">
        <f>IFERROR(VLOOKUP($B597,テーブル12[],3,FALSE),"")</f>
        <v/>
      </c>
      <c r="G597" s="31" t="str">
        <f>IFERROR(VLOOKUP($B597,テーブル12[],4,FALSE),"")</f>
        <v/>
      </c>
      <c r="H597" s="25" t="str">
        <f t="shared" si="15"/>
        <v/>
      </c>
    </row>
    <row r="598" spans="4:8">
      <c r="D598" s="27" t="str">
        <f>IFERROR(VLOOKUP(A598,テーブル11[],2,FALSE),"")</f>
        <v/>
      </c>
      <c r="E598" s="25" t="str">
        <f>IFERROR(VLOOKUP($B598,テーブル12[],2,FALSE),"")</f>
        <v/>
      </c>
      <c r="F598" s="25" t="str">
        <f>IFERROR(VLOOKUP($B598,テーブル12[],3,FALSE),"")</f>
        <v/>
      </c>
      <c r="G598" s="31" t="str">
        <f>IFERROR(VLOOKUP($B598,テーブル12[],4,FALSE),"")</f>
        <v/>
      </c>
      <c r="H598" s="25" t="str">
        <f t="shared" si="15"/>
        <v/>
      </c>
    </row>
    <row r="599" spans="4:8">
      <c r="D599" s="27" t="str">
        <f>IFERROR(VLOOKUP(A599,テーブル11[],2,FALSE),"")</f>
        <v/>
      </c>
      <c r="E599" s="25" t="str">
        <f>IFERROR(VLOOKUP($B599,テーブル12[],2,FALSE),"")</f>
        <v/>
      </c>
      <c r="F599" s="25" t="str">
        <f>IFERROR(VLOOKUP($B599,テーブル12[],3,FALSE),"")</f>
        <v/>
      </c>
      <c r="G599" s="31" t="str">
        <f>IFERROR(VLOOKUP($B599,テーブル12[],4,FALSE),"")</f>
        <v/>
      </c>
      <c r="H599" s="25" t="str">
        <f t="shared" si="15"/>
        <v/>
      </c>
    </row>
    <row r="600" spans="4:8">
      <c r="D600" s="27" t="str">
        <f>IFERROR(VLOOKUP(A600,テーブル11[],2,FALSE),"")</f>
        <v/>
      </c>
      <c r="E600" s="25" t="str">
        <f>IFERROR(VLOOKUP($B600,テーブル12[],2,FALSE),"")</f>
        <v/>
      </c>
      <c r="F600" s="25" t="str">
        <f>IFERROR(VLOOKUP($B600,テーブル12[],3,FALSE),"")</f>
        <v/>
      </c>
      <c r="G600" s="31" t="str">
        <f>IFERROR(VLOOKUP($B600,テーブル12[],4,FALSE),"")</f>
        <v/>
      </c>
      <c r="H600" s="25" t="str">
        <f t="shared" si="15"/>
        <v/>
      </c>
    </row>
    <row r="601" spans="4:8">
      <c r="D601" s="27" t="str">
        <f>IFERROR(VLOOKUP(A601,テーブル11[],2,FALSE),"")</f>
        <v/>
      </c>
      <c r="E601" s="25" t="str">
        <f>IFERROR(VLOOKUP($B601,テーブル12[],2,FALSE),"")</f>
        <v/>
      </c>
      <c r="F601" s="25" t="str">
        <f>IFERROR(VLOOKUP($B601,テーブル12[],3,FALSE),"")</f>
        <v/>
      </c>
      <c r="G601" s="31" t="str">
        <f>IFERROR(VLOOKUP($B601,テーブル12[],4,FALSE),"")</f>
        <v/>
      </c>
      <c r="H601" s="25" t="str">
        <f t="shared" si="15"/>
        <v/>
      </c>
    </row>
    <row r="602" spans="4:8">
      <c r="D602" s="27" t="str">
        <f>IFERROR(VLOOKUP(A602,テーブル11[],2,FALSE),"")</f>
        <v/>
      </c>
      <c r="E602" s="25" t="str">
        <f>IFERROR(VLOOKUP($B602,テーブル12[],2,FALSE),"")</f>
        <v/>
      </c>
      <c r="F602" s="25" t="str">
        <f>IFERROR(VLOOKUP($B602,テーブル12[],3,FALSE),"")</f>
        <v/>
      </c>
      <c r="G602" s="31" t="str">
        <f>IFERROR(VLOOKUP($B602,テーブル12[],4,FALSE),"")</f>
        <v/>
      </c>
      <c r="H602" s="25" t="str">
        <f t="shared" si="15"/>
        <v/>
      </c>
    </row>
    <row r="603" spans="4:8">
      <c r="D603" s="27" t="str">
        <f>IFERROR(VLOOKUP(A603,テーブル11[],2,FALSE),"")</f>
        <v/>
      </c>
      <c r="E603" s="25" t="str">
        <f>IFERROR(VLOOKUP($B603,テーブル12[],2,FALSE),"")</f>
        <v/>
      </c>
      <c r="F603" s="25" t="str">
        <f>IFERROR(VLOOKUP($B603,テーブル12[],3,FALSE),"")</f>
        <v/>
      </c>
      <c r="G603" s="31" t="str">
        <f>IFERROR(VLOOKUP($B603,テーブル12[],4,FALSE),"")</f>
        <v/>
      </c>
      <c r="H603" s="25" t="str">
        <f t="shared" si="15"/>
        <v/>
      </c>
    </row>
    <row r="604" spans="4:8">
      <c r="D604" s="27" t="str">
        <f>IFERROR(VLOOKUP(A604,テーブル11[],2,FALSE),"")</f>
        <v/>
      </c>
      <c r="E604" s="25" t="str">
        <f>IFERROR(VLOOKUP($B604,テーブル12[],2,FALSE),"")</f>
        <v/>
      </c>
      <c r="F604" s="25" t="str">
        <f>IFERROR(VLOOKUP($B604,テーブル12[],3,FALSE),"")</f>
        <v/>
      </c>
      <c r="G604" s="31" t="str">
        <f>IFERROR(VLOOKUP($B604,テーブル12[],4,FALSE),"")</f>
        <v/>
      </c>
      <c r="H604" s="25" t="str">
        <f t="shared" si="15"/>
        <v/>
      </c>
    </row>
    <row r="605" spans="4:8">
      <c r="D605" s="27" t="str">
        <f>IFERROR(VLOOKUP(A605,テーブル11[],2,FALSE),"")</f>
        <v/>
      </c>
      <c r="E605" s="25" t="str">
        <f>IFERROR(VLOOKUP($B605,テーブル12[],2,FALSE),"")</f>
        <v/>
      </c>
      <c r="F605" s="25" t="str">
        <f>IFERROR(VLOOKUP($B605,テーブル12[],3,FALSE),"")</f>
        <v/>
      </c>
      <c r="G605" s="31" t="str">
        <f>IFERROR(VLOOKUP($B605,テーブル12[],4,FALSE),"")</f>
        <v/>
      </c>
      <c r="H605" s="25" t="str">
        <f t="shared" si="15"/>
        <v/>
      </c>
    </row>
    <row r="606" spans="4:8">
      <c r="D606" s="27" t="str">
        <f>IFERROR(VLOOKUP(A606,テーブル11[],2,FALSE),"")</f>
        <v/>
      </c>
      <c r="E606" s="25" t="str">
        <f>IFERROR(VLOOKUP($B606,テーブル12[],2,FALSE),"")</f>
        <v/>
      </c>
      <c r="F606" s="25" t="str">
        <f>IFERROR(VLOOKUP($B606,テーブル12[],3,FALSE),"")</f>
        <v/>
      </c>
      <c r="G606" s="31" t="str">
        <f>IFERROR(VLOOKUP($B606,テーブル12[],4,FALSE),"")</f>
        <v/>
      </c>
      <c r="H606" s="25" t="str">
        <f t="shared" si="15"/>
        <v/>
      </c>
    </row>
    <row r="607" spans="4:8">
      <c r="D607" s="27" t="str">
        <f>IFERROR(VLOOKUP(A607,テーブル11[],2,FALSE),"")</f>
        <v/>
      </c>
      <c r="E607" s="25" t="str">
        <f>IFERROR(VLOOKUP($B607,テーブル12[],2,FALSE),"")</f>
        <v/>
      </c>
      <c r="F607" s="25" t="str">
        <f>IFERROR(VLOOKUP($B607,テーブル12[],3,FALSE),"")</f>
        <v/>
      </c>
      <c r="G607" s="31" t="str">
        <f>IFERROR(VLOOKUP($B607,テーブル12[],4,FALSE),"")</f>
        <v/>
      </c>
      <c r="H607" s="25" t="str">
        <f t="shared" si="15"/>
        <v/>
      </c>
    </row>
    <row r="608" spans="4:8">
      <c r="D608" s="27" t="str">
        <f>IFERROR(VLOOKUP(A608,テーブル11[],2,FALSE),"")</f>
        <v/>
      </c>
      <c r="E608" s="25" t="str">
        <f>IFERROR(VLOOKUP($B608,テーブル12[],2,FALSE),"")</f>
        <v/>
      </c>
      <c r="F608" s="25" t="str">
        <f>IFERROR(VLOOKUP($B608,テーブル12[],3,FALSE),"")</f>
        <v/>
      </c>
      <c r="G608" s="31" t="str">
        <f>IFERROR(VLOOKUP($B608,テーブル12[],4,FALSE),"")</f>
        <v/>
      </c>
      <c r="H608" s="25" t="str">
        <f t="shared" si="15"/>
        <v/>
      </c>
    </row>
    <row r="609" spans="4:8">
      <c r="D609" s="27" t="str">
        <f>IFERROR(VLOOKUP(A609,テーブル11[],2,FALSE),"")</f>
        <v/>
      </c>
      <c r="E609" s="25" t="str">
        <f>IFERROR(VLOOKUP($B609,テーブル12[],2,FALSE),"")</f>
        <v/>
      </c>
      <c r="F609" s="25" t="str">
        <f>IFERROR(VLOOKUP($B609,テーブル12[],3,FALSE),"")</f>
        <v/>
      </c>
      <c r="G609" s="31" t="str">
        <f>IFERROR(VLOOKUP($B609,テーブル12[],4,FALSE),"")</f>
        <v/>
      </c>
      <c r="H609" s="25" t="str">
        <f t="shared" si="15"/>
        <v/>
      </c>
    </row>
    <row r="610" spans="4:8">
      <c r="D610" s="27" t="str">
        <f>IFERROR(VLOOKUP(A610,テーブル11[],2,FALSE),"")</f>
        <v/>
      </c>
      <c r="E610" s="25" t="str">
        <f>IFERROR(VLOOKUP($B610,テーブル12[],2,FALSE),"")</f>
        <v/>
      </c>
      <c r="F610" s="25" t="str">
        <f>IFERROR(VLOOKUP($B610,テーブル12[],3,FALSE),"")</f>
        <v/>
      </c>
      <c r="G610" s="31" t="str">
        <f>IFERROR(VLOOKUP($B610,テーブル12[],4,FALSE),"")</f>
        <v/>
      </c>
      <c r="H610" s="25" t="str">
        <f t="shared" si="15"/>
        <v/>
      </c>
    </row>
    <row r="611" spans="4:8">
      <c r="D611" s="27" t="str">
        <f>IFERROR(VLOOKUP(A611,テーブル11[],2,FALSE),"")</f>
        <v/>
      </c>
      <c r="E611" s="25" t="str">
        <f>IFERROR(VLOOKUP($B611,テーブル12[],2,FALSE),"")</f>
        <v/>
      </c>
      <c r="F611" s="25" t="str">
        <f>IFERROR(VLOOKUP($B611,テーブル12[],3,FALSE),"")</f>
        <v/>
      </c>
      <c r="G611" s="31" t="str">
        <f>IFERROR(VLOOKUP($B611,テーブル12[],4,FALSE),"")</f>
        <v/>
      </c>
      <c r="H611" s="25" t="str">
        <f t="shared" si="15"/>
        <v/>
      </c>
    </row>
    <row r="612" spans="4:8">
      <c r="D612" s="27" t="str">
        <f>IFERROR(VLOOKUP(A612,テーブル11[],2,FALSE),"")</f>
        <v/>
      </c>
      <c r="E612" s="25" t="str">
        <f>IFERROR(VLOOKUP($B612,テーブル12[],2,FALSE),"")</f>
        <v/>
      </c>
      <c r="F612" s="25" t="str">
        <f>IFERROR(VLOOKUP($B612,テーブル12[],3,FALSE),"")</f>
        <v/>
      </c>
      <c r="G612" s="31" t="str">
        <f>IFERROR(VLOOKUP($B612,テーブル12[],4,FALSE),"")</f>
        <v/>
      </c>
      <c r="H612" s="25" t="str">
        <f t="shared" si="15"/>
        <v/>
      </c>
    </row>
    <row r="613" spans="4:8">
      <c r="D613" s="27" t="str">
        <f>IFERROR(VLOOKUP(A613,テーブル11[],2,FALSE),"")</f>
        <v/>
      </c>
      <c r="E613" s="25" t="str">
        <f>IFERROR(VLOOKUP($B613,テーブル12[],2,FALSE),"")</f>
        <v/>
      </c>
      <c r="F613" s="25" t="str">
        <f>IFERROR(VLOOKUP($B613,テーブル12[],3,FALSE),"")</f>
        <v/>
      </c>
      <c r="G613" s="31" t="str">
        <f>IFERROR(VLOOKUP($B613,テーブル12[],4,FALSE),"")</f>
        <v/>
      </c>
      <c r="H613" s="25" t="str">
        <f t="shared" si="15"/>
        <v/>
      </c>
    </row>
    <row r="614" spans="4:8">
      <c r="D614" s="27" t="str">
        <f>IFERROR(VLOOKUP(A614,テーブル11[],2,FALSE),"")</f>
        <v/>
      </c>
      <c r="E614" s="25" t="str">
        <f>IFERROR(VLOOKUP($B614,テーブル12[],2,FALSE),"")</f>
        <v/>
      </c>
      <c r="F614" s="25" t="str">
        <f>IFERROR(VLOOKUP($B614,テーブル12[],3,FALSE),"")</f>
        <v/>
      </c>
      <c r="G614" s="31" t="str">
        <f>IFERROR(VLOOKUP($B614,テーブル12[],4,FALSE),"")</f>
        <v/>
      </c>
      <c r="H614" s="25" t="str">
        <f t="shared" si="15"/>
        <v/>
      </c>
    </row>
    <row r="615" spans="4:8">
      <c r="D615" s="27" t="str">
        <f>IFERROR(VLOOKUP(A615,テーブル11[],2,FALSE),"")</f>
        <v/>
      </c>
      <c r="E615" s="25" t="str">
        <f>IFERROR(VLOOKUP($B615,テーブル12[],2,FALSE),"")</f>
        <v/>
      </c>
      <c r="F615" s="25" t="str">
        <f>IFERROR(VLOOKUP($B615,テーブル12[],3,FALSE),"")</f>
        <v/>
      </c>
      <c r="G615" s="31" t="str">
        <f>IFERROR(VLOOKUP($B615,テーブル12[],4,FALSE),"")</f>
        <v/>
      </c>
      <c r="H615" s="25" t="str">
        <f t="shared" si="15"/>
        <v/>
      </c>
    </row>
    <row r="616" spans="4:8">
      <c r="D616" s="27" t="str">
        <f>IFERROR(VLOOKUP(A616,テーブル11[],2,FALSE),"")</f>
        <v/>
      </c>
      <c r="E616" s="25" t="str">
        <f>IFERROR(VLOOKUP($B616,テーブル12[],2,FALSE),"")</f>
        <v/>
      </c>
      <c r="F616" s="25" t="str">
        <f>IFERROR(VLOOKUP($B616,テーブル12[],3,FALSE),"")</f>
        <v/>
      </c>
      <c r="G616" s="31" t="str">
        <f>IFERROR(VLOOKUP($B616,テーブル12[],4,FALSE),"")</f>
        <v/>
      </c>
      <c r="H616" s="25" t="str">
        <f t="shared" si="15"/>
        <v/>
      </c>
    </row>
    <row r="617" spans="4:8">
      <c r="D617" s="27" t="str">
        <f>IFERROR(VLOOKUP(A617,テーブル11[],2,FALSE),"")</f>
        <v/>
      </c>
      <c r="E617" s="25" t="str">
        <f>IFERROR(VLOOKUP($B617,テーブル12[],2,FALSE),"")</f>
        <v/>
      </c>
      <c r="F617" s="25" t="str">
        <f>IFERROR(VLOOKUP($B617,テーブル12[],3,FALSE),"")</f>
        <v/>
      </c>
      <c r="G617" s="31" t="str">
        <f>IFERROR(VLOOKUP($B617,テーブル12[],4,FALSE),"")</f>
        <v/>
      </c>
      <c r="H617" s="25" t="str">
        <f t="shared" si="15"/>
        <v/>
      </c>
    </row>
    <row r="618" spans="4:8">
      <c r="D618" s="27" t="str">
        <f>IFERROR(VLOOKUP(A618,テーブル11[],2,FALSE),"")</f>
        <v/>
      </c>
      <c r="E618" s="25" t="str">
        <f>IFERROR(VLOOKUP($B618,テーブル12[],2,FALSE),"")</f>
        <v/>
      </c>
      <c r="F618" s="25" t="str">
        <f>IFERROR(VLOOKUP($B618,テーブル12[],3,FALSE),"")</f>
        <v/>
      </c>
      <c r="G618" s="31" t="str">
        <f>IFERROR(VLOOKUP($B618,テーブル12[],4,FALSE),"")</f>
        <v/>
      </c>
      <c r="H618" s="25" t="str">
        <f t="shared" si="15"/>
        <v/>
      </c>
    </row>
    <row r="619" spans="4:8">
      <c r="D619" s="27" t="str">
        <f>IFERROR(VLOOKUP(A619,テーブル11[],2,FALSE),"")</f>
        <v/>
      </c>
      <c r="E619" s="25" t="str">
        <f>IFERROR(VLOOKUP($B619,テーブル12[],2,FALSE),"")</f>
        <v/>
      </c>
      <c r="F619" s="25" t="str">
        <f>IFERROR(VLOOKUP($B619,テーブル12[],3,FALSE),"")</f>
        <v/>
      </c>
      <c r="G619" s="31" t="str">
        <f>IFERROR(VLOOKUP($B619,テーブル12[],4,FALSE),"")</f>
        <v/>
      </c>
      <c r="H619" s="25" t="str">
        <f t="shared" si="15"/>
        <v/>
      </c>
    </row>
    <row r="620" spans="4:8">
      <c r="D620" s="27" t="str">
        <f>IFERROR(VLOOKUP(A620,テーブル11[],2,FALSE),"")</f>
        <v/>
      </c>
      <c r="E620" s="25" t="str">
        <f>IFERROR(VLOOKUP($B620,テーブル12[],2,FALSE),"")</f>
        <v/>
      </c>
      <c r="F620" s="25" t="str">
        <f>IFERROR(VLOOKUP($B620,テーブル12[],3,FALSE),"")</f>
        <v/>
      </c>
      <c r="G620" s="31" t="str">
        <f>IFERROR(VLOOKUP($B620,テーブル12[],4,FALSE),"")</f>
        <v/>
      </c>
      <c r="H620" s="25" t="str">
        <f t="shared" si="15"/>
        <v/>
      </c>
    </row>
    <row r="621" spans="4:8">
      <c r="D621" s="27" t="str">
        <f>IFERROR(VLOOKUP(A621,テーブル11[],2,FALSE),"")</f>
        <v/>
      </c>
      <c r="E621" s="25" t="str">
        <f>IFERROR(VLOOKUP($B621,テーブル12[],2,FALSE),"")</f>
        <v/>
      </c>
      <c r="F621" s="25" t="str">
        <f>IFERROR(VLOOKUP($B621,テーブル12[],3,FALSE),"")</f>
        <v/>
      </c>
      <c r="G621" s="31" t="str">
        <f>IFERROR(VLOOKUP($B621,テーブル12[],4,FALSE),"")</f>
        <v/>
      </c>
      <c r="H621" s="25" t="str">
        <f t="shared" si="15"/>
        <v/>
      </c>
    </row>
    <row r="622" spans="4:8">
      <c r="D622" s="27" t="str">
        <f>IFERROR(VLOOKUP(A622,テーブル11[],2,FALSE),"")</f>
        <v/>
      </c>
      <c r="E622" s="25" t="str">
        <f>IFERROR(VLOOKUP($B622,テーブル12[],2,FALSE),"")</f>
        <v/>
      </c>
      <c r="F622" s="25" t="str">
        <f>IFERROR(VLOOKUP($B622,テーブル12[],3,FALSE),"")</f>
        <v/>
      </c>
      <c r="G622" s="31" t="str">
        <f>IFERROR(VLOOKUP($B622,テーブル12[],4,FALSE),"")</f>
        <v/>
      </c>
      <c r="H622" s="25" t="str">
        <f t="shared" si="15"/>
        <v/>
      </c>
    </row>
    <row r="623" spans="4:8">
      <c r="D623" s="27" t="str">
        <f>IFERROR(VLOOKUP(A623,テーブル11[],2,FALSE),"")</f>
        <v/>
      </c>
      <c r="E623" s="25" t="str">
        <f>IFERROR(VLOOKUP($B623,テーブル12[],2,FALSE),"")</f>
        <v/>
      </c>
      <c r="F623" s="25" t="str">
        <f>IFERROR(VLOOKUP($B623,テーブル12[],3,FALSE),"")</f>
        <v/>
      </c>
      <c r="G623" s="31" t="str">
        <f>IFERROR(VLOOKUP($B623,テーブル12[],4,FALSE),"")</f>
        <v/>
      </c>
      <c r="H623" s="25" t="str">
        <f t="shared" si="15"/>
        <v/>
      </c>
    </row>
    <row r="624" spans="4:8">
      <c r="D624" s="27" t="str">
        <f>IFERROR(VLOOKUP(A624,テーブル11[],2,FALSE),"")</f>
        <v/>
      </c>
      <c r="E624" s="25" t="str">
        <f>IFERROR(VLOOKUP($B624,テーブル12[],2,FALSE),"")</f>
        <v/>
      </c>
      <c r="F624" s="25" t="str">
        <f>IFERROR(VLOOKUP($B624,テーブル12[],3,FALSE),"")</f>
        <v/>
      </c>
      <c r="G624" s="31" t="str">
        <f>IFERROR(VLOOKUP($B624,テーブル12[],4,FALSE),"")</f>
        <v/>
      </c>
      <c r="H624" s="25" t="str">
        <f t="shared" si="15"/>
        <v/>
      </c>
    </row>
    <row r="625" spans="4:8">
      <c r="D625" s="27" t="str">
        <f>IFERROR(VLOOKUP(A625,テーブル11[],2,FALSE),"")</f>
        <v/>
      </c>
      <c r="E625" s="25" t="str">
        <f>IFERROR(VLOOKUP($B625,テーブル12[],2,FALSE),"")</f>
        <v/>
      </c>
      <c r="F625" s="25" t="str">
        <f>IFERROR(VLOOKUP($B625,テーブル12[],3,FALSE),"")</f>
        <v/>
      </c>
      <c r="G625" s="31" t="str">
        <f>IFERROR(VLOOKUP($B625,テーブル12[],4,FALSE),"")</f>
        <v/>
      </c>
      <c r="H625" s="25" t="str">
        <f t="shared" si="15"/>
        <v/>
      </c>
    </row>
    <row r="626" spans="4:8">
      <c r="D626" s="27" t="str">
        <f>IFERROR(VLOOKUP(A626,テーブル11[],2,FALSE),"")</f>
        <v/>
      </c>
      <c r="E626" s="25" t="str">
        <f>IFERROR(VLOOKUP($B626,テーブル12[],2,FALSE),"")</f>
        <v/>
      </c>
      <c r="F626" s="25" t="str">
        <f>IFERROR(VLOOKUP($B626,テーブル12[],3,FALSE),"")</f>
        <v/>
      </c>
      <c r="G626" s="31" t="str">
        <f>IFERROR(VLOOKUP($B626,テーブル12[],4,FALSE),"")</f>
        <v/>
      </c>
      <c r="H626" s="25" t="str">
        <f t="shared" si="15"/>
        <v/>
      </c>
    </row>
    <row r="627" spans="4:8">
      <c r="D627" s="27" t="str">
        <f>IFERROR(VLOOKUP(A627,テーブル11[],2,FALSE),"")</f>
        <v/>
      </c>
      <c r="E627" s="25" t="str">
        <f>IFERROR(VLOOKUP($B627,テーブル12[],2,FALSE),"")</f>
        <v/>
      </c>
      <c r="F627" s="25" t="str">
        <f>IFERROR(VLOOKUP($B627,テーブル12[],3,FALSE),"")</f>
        <v/>
      </c>
      <c r="G627" s="31" t="str">
        <f>IFERROR(VLOOKUP($B627,テーブル12[],4,FALSE),"")</f>
        <v/>
      </c>
      <c r="H627" s="25" t="str">
        <f t="shared" si="15"/>
        <v/>
      </c>
    </row>
    <row r="628" spans="4:8">
      <c r="D628" s="27" t="str">
        <f>IFERROR(VLOOKUP(A628,テーブル11[],2,FALSE),"")</f>
        <v/>
      </c>
      <c r="E628" s="25" t="str">
        <f>IFERROR(VLOOKUP($B628,テーブル12[],2,FALSE),"")</f>
        <v/>
      </c>
      <c r="F628" s="25" t="str">
        <f>IFERROR(VLOOKUP($B628,テーブル12[],3,FALSE),"")</f>
        <v/>
      </c>
      <c r="G628" s="31" t="str">
        <f>IFERROR(VLOOKUP($B628,テーブル12[],4,FALSE),"")</f>
        <v/>
      </c>
      <c r="H628" s="25" t="str">
        <f t="shared" si="15"/>
        <v/>
      </c>
    </row>
    <row r="629" spans="4:8">
      <c r="D629" s="27" t="str">
        <f>IFERROR(VLOOKUP(A629,テーブル11[],2,FALSE),"")</f>
        <v/>
      </c>
      <c r="E629" s="25" t="str">
        <f>IFERROR(VLOOKUP($B629,テーブル12[],2,FALSE),"")</f>
        <v/>
      </c>
      <c r="F629" s="25" t="str">
        <f>IFERROR(VLOOKUP($B629,テーブル12[],3,FALSE),"")</f>
        <v/>
      </c>
      <c r="G629" s="31" t="str">
        <f>IFERROR(VLOOKUP($B629,テーブル12[],4,FALSE),"")</f>
        <v/>
      </c>
      <c r="H629" s="25" t="str">
        <f t="shared" si="15"/>
        <v/>
      </c>
    </row>
    <row r="630" spans="4:8">
      <c r="D630" s="27" t="str">
        <f>IFERROR(VLOOKUP(A630,テーブル11[],2,FALSE),"")</f>
        <v/>
      </c>
      <c r="E630" s="25" t="str">
        <f>IFERROR(VLOOKUP($B630,テーブル12[],2,FALSE),"")</f>
        <v/>
      </c>
      <c r="F630" s="25" t="str">
        <f>IFERROR(VLOOKUP($B630,テーブル12[],3,FALSE),"")</f>
        <v/>
      </c>
      <c r="G630" s="31" t="str">
        <f>IFERROR(VLOOKUP($B630,テーブル12[],4,FALSE),"")</f>
        <v/>
      </c>
      <c r="H630" s="25" t="str">
        <f t="shared" si="15"/>
        <v/>
      </c>
    </row>
    <row r="631" spans="4:8">
      <c r="D631" s="27" t="str">
        <f>IFERROR(VLOOKUP(A631,テーブル11[],2,FALSE),"")</f>
        <v/>
      </c>
      <c r="E631" s="25" t="str">
        <f>IFERROR(VLOOKUP($B631,テーブル12[],2,FALSE),"")</f>
        <v/>
      </c>
      <c r="F631" s="25" t="str">
        <f>IFERROR(VLOOKUP($B631,テーブル12[],3,FALSE),"")</f>
        <v/>
      </c>
      <c r="G631" s="31" t="str">
        <f>IFERROR(VLOOKUP($B631,テーブル12[],4,FALSE),"")</f>
        <v/>
      </c>
      <c r="H631" s="25" t="str">
        <f t="shared" si="15"/>
        <v/>
      </c>
    </row>
    <row r="632" spans="4:8">
      <c r="D632" s="27" t="str">
        <f>IFERROR(VLOOKUP(A632,テーブル11[],2,FALSE),"")</f>
        <v/>
      </c>
      <c r="E632" s="25" t="str">
        <f>IFERROR(VLOOKUP($B632,テーブル12[],2,FALSE),"")</f>
        <v/>
      </c>
      <c r="F632" s="25" t="str">
        <f>IFERROR(VLOOKUP($B632,テーブル12[],3,FALSE),"")</f>
        <v/>
      </c>
      <c r="G632" s="31" t="str">
        <f>IFERROR(VLOOKUP($B632,テーブル12[],4,FALSE),"")</f>
        <v/>
      </c>
      <c r="H632" s="25" t="str">
        <f t="shared" si="15"/>
        <v/>
      </c>
    </row>
    <row r="633" spans="4:8">
      <c r="D633" s="27" t="str">
        <f>IFERROR(VLOOKUP(A633,テーブル11[],2,FALSE),"")</f>
        <v/>
      </c>
      <c r="E633" s="25" t="str">
        <f>IFERROR(VLOOKUP($B633,テーブル12[],2,FALSE),"")</f>
        <v/>
      </c>
      <c r="F633" s="25" t="str">
        <f>IFERROR(VLOOKUP($B633,テーブル12[],3,FALSE),"")</f>
        <v/>
      </c>
      <c r="G633" s="31" t="str">
        <f>IFERROR(VLOOKUP($B633,テーブル12[],4,FALSE),"")</f>
        <v/>
      </c>
      <c r="H633" s="25" t="str">
        <f t="shared" si="15"/>
        <v/>
      </c>
    </row>
    <row r="634" spans="4:8">
      <c r="D634" s="27" t="str">
        <f>IFERROR(VLOOKUP(A634,テーブル11[],2,FALSE),"")</f>
        <v/>
      </c>
      <c r="E634" s="25" t="str">
        <f>IFERROR(VLOOKUP($B634,テーブル12[],2,FALSE),"")</f>
        <v/>
      </c>
      <c r="F634" s="25" t="str">
        <f>IFERROR(VLOOKUP($B634,テーブル12[],3,FALSE),"")</f>
        <v/>
      </c>
      <c r="G634" s="31" t="str">
        <f>IFERROR(VLOOKUP($B634,テーブル12[],4,FALSE),"")</f>
        <v/>
      </c>
      <c r="H634" s="25" t="str">
        <f t="shared" si="15"/>
        <v/>
      </c>
    </row>
    <row r="635" spans="4:8">
      <c r="D635" s="27" t="str">
        <f>IFERROR(VLOOKUP(A635,テーブル11[],2,FALSE),"")</f>
        <v/>
      </c>
      <c r="E635" s="25" t="str">
        <f>IFERROR(VLOOKUP($B635,テーブル12[],2,FALSE),"")</f>
        <v/>
      </c>
      <c r="F635" s="25" t="str">
        <f>IFERROR(VLOOKUP($B635,テーブル12[],3,FALSE),"")</f>
        <v/>
      </c>
      <c r="G635" s="31" t="str">
        <f>IFERROR(VLOOKUP($B635,テーブル12[],4,FALSE),"")</f>
        <v/>
      </c>
      <c r="H635" s="25" t="str">
        <f t="shared" si="15"/>
        <v/>
      </c>
    </row>
    <row r="636" spans="4:8">
      <c r="D636" s="27" t="str">
        <f>IFERROR(VLOOKUP(A636,テーブル11[],2,FALSE),"")</f>
        <v/>
      </c>
      <c r="E636" s="25" t="str">
        <f>IFERROR(VLOOKUP($B636,テーブル12[],2,FALSE),"")</f>
        <v/>
      </c>
      <c r="F636" s="25" t="str">
        <f>IFERROR(VLOOKUP($B636,テーブル12[],3,FALSE),"")</f>
        <v/>
      </c>
      <c r="G636" s="31" t="str">
        <f>IFERROR(VLOOKUP($B636,テーブル12[],4,FALSE),"")</f>
        <v/>
      </c>
      <c r="H636" s="25" t="str">
        <f t="shared" si="15"/>
        <v/>
      </c>
    </row>
    <row r="637" spans="4:8">
      <c r="D637" s="27" t="str">
        <f>IFERROR(VLOOKUP(A637,テーブル11[],2,FALSE),"")</f>
        <v/>
      </c>
      <c r="E637" s="25" t="str">
        <f>IFERROR(VLOOKUP($B637,テーブル12[],2,FALSE),"")</f>
        <v/>
      </c>
      <c r="F637" s="25" t="str">
        <f>IFERROR(VLOOKUP($B637,テーブル12[],3,FALSE),"")</f>
        <v/>
      </c>
      <c r="G637" s="31" t="str">
        <f>IFERROR(VLOOKUP($B637,テーブル12[],4,FALSE),"")</f>
        <v/>
      </c>
      <c r="H637" s="25" t="str">
        <f t="shared" si="15"/>
        <v/>
      </c>
    </row>
    <row r="638" spans="4:8">
      <c r="D638" s="27" t="str">
        <f>IFERROR(VLOOKUP(A638,テーブル11[],2,FALSE),"")</f>
        <v/>
      </c>
      <c r="E638" s="25" t="str">
        <f>IFERROR(VLOOKUP($B638,テーブル12[],2,FALSE),"")</f>
        <v/>
      </c>
      <c r="F638" s="25" t="str">
        <f>IFERROR(VLOOKUP($B638,テーブル12[],3,FALSE),"")</f>
        <v/>
      </c>
      <c r="G638" s="31" t="str">
        <f>IFERROR(VLOOKUP($B638,テーブル12[],4,FALSE),"")</f>
        <v/>
      </c>
      <c r="H638" s="25" t="str">
        <f t="shared" si="15"/>
        <v/>
      </c>
    </row>
    <row r="639" spans="4:8">
      <c r="D639" s="27" t="str">
        <f>IFERROR(VLOOKUP(A639,テーブル11[],2,FALSE),"")</f>
        <v/>
      </c>
      <c r="E639" s="25" t="str">
        <f>IFERROR(VLOOKUP($B639,テーブル12[],2,FALSE),"")</f>
        <v/>
      </c>
      <c r="F639" s="25" t="str">
        <f>IFERROR(VLOOKUP($B639,テーブル12[],3,FALSE),"")</f>
        <v/>
      </c>
      <c r="G639" s="31" t="str">
        <f>IFERROR(VLOOKUP($B639,テーブル12[],4,FALSE),"")</f>
        <v/>
      </c>
      <c r="H639" s="25" t="str">
        <f t="shared" si="15"/>
        <v/>
      </c>
    </row>
    <row r="640" spans="4:8">
      <c r="D640" s="27" t="str">
        <f>IFERROR(VLOOKUP(A640,テーブル11[],2,FALSE),"")</f>
        <v/>
      </c>
      <c r="E640" s="25" t="str">
        <f>IFERROR(VLOOKUP($B640,テーブル12[],2,FALSE),"")</f>
        <v/>
      </c>
      <c r="F640" s="25" t="str">
        <f>IFERROR(VLOOKUP($B640,テーブル12[],3,FALSE),"")</f>
        <v/>
      </c>
      <c r="G640" s="31" t="str">
        <f>IFERROR(VLOOKUP($B640,テーブル12[],4,FALSE),"")</f>
        <v/>
      </c>
      <c r="H640" s="25" t="str">
        <f t="shared" si="15"/>
        <v/>
      </c>
    </row>
    <row r="641" spans="4:8">
      <c r="D641" s="27" t="str">
        <f>IFERROR(VLOOKUP(A641,テーブル11[],2,FALSE),"")</f>
        <v/>
      </c>
      <c r="E641" s="25" t="str">
        <f>IFERROR(VLOOKUP($B641,テーブル12[],2,FALSE),"")</f>
        <v/>
      </c>
      <c r="F641" s="25" t="str">
        <f>IFERROR(VLOOKUP($B641,テーブル12[],3,FALSE),"")</f>
        <v/>
      </c>
      <c r="G641" s="31" t="str">
        <f>IFERROR(VLOOKUP($B641,テーブル12[],4,FALSE),"")</f>
        <v/>
      </c>
      <c r="H641" s="25" t="str">
        <f t="shared" si="15"/>
        <v/>
      </c>
    </row>
    <row r="642" spans="4:8">
      <c r="D642" s="27" t="str">
        <f>IFERROR(VLOOKUP(A642,テーブル11[],2,FALSE),"")</f>
        <v/>
      </c>
      <c r="E642" s="25" t="str">
        <f>IFERROR(VLOOKUP($B642,テーブル12[],2,FALSE),"")</f>
        <v/>
      </c>
      <c r="F642" s="25" t="str">
        <f>IFERROR(VLOOKUP($B642,テーブル12[],3,FALSE),"")</f>
        <v/>
      </c>
      <c r="G642" s="31" t="str">
        <f>IFERROR(VLOOKUP($B642,テーブル12[],4,FALSE),"")</f>
        <v/>
      </c>
      <c r="H642" s="25" t="str">
        <f t="shared" ref="H642:H705" si="16">IF(C642=0,"",C642)</f>
        <v/>
      </c>
    </row>
    <row r="643" spans="4:8">
      <c r="D643" s="27" t="str">
        <f>IFERROR(VLOOKUP(A643,テーブル11[],2,FALSE),"")</f>
        <v/>
      </c>
      <c r="E643" s="25" t="str">
        <f>IFERROR(VLOOKUP($B643,テーブル12[],2,FALSE),"")</f>
        <v/>
      </c>
      <c r="F643" s="25" t="str">
        <f>IFERROR(VLOOKUP($B643,テーブル12[],3,FALSE),"")</f>
        <v/>
      </c>
      <c r="G643" s="31" t="str">
        <f>IFERROR(VLOOKUP($B643,テーブル12[],4,FALSE),"")</f>
        <v/>
      </c>
      <c r="H643" s="25" t="str">
        <f t="shared" si="16"/>
        <v/>
      </c>
    </row>
    <row r="644" spans="4:8">
      <c r="D644" s="27" t="str">
        <f>IFERROR(VLOOKUP(A644,テーブル11[],2,FALSE),"")</f>
        <v/>
      </c>
      <c r="E644" s="25" t="str">
        <f>IFERROR(VLOOKUP($B644,テーブル12[],2,FALSE),"")</f>
        <v/>
      </c>
      <c r="F644" s="25" t="str">
        <f>IFERROR(VLOOKUP($B644,テーブル12[],3,FALSE),"")</f>
        <v/>
      </c>
      <c r="G644" s="31" t="str">
        <f>IFERROR(VLOOKUP($B644,テーブル12[],4,FALSE),"")</f>
        <v/>
      </c>
      <c r="H644" s="25" t="str">
        <f t="shared" si="16"/>
        <v/>
      </c>
    </row>
    <row r="645" spans="4:8">
      <c r="D645" s="27" t="str">
        <f>IFERROR(VLOOKUP(A645,テーブル11[],2,FALSE),"")</f>
        <v/>
      </c>
      <c r="E645" s="25" t="str">
        <f>IFERROR(VLOOKUP($B645,テーブル12[],2,FALSE),"")</f>
        <v/>
      </c>
      <c r="F645" s="25" t="str">
        <f>IFERROR(VLOOKUP($B645,テーブル12[],3,FALSE),"")</f>
        <v/>
      </c>
      <c r="G645" s="31" t="str">
        <f>IFERROR(VLOOKUP($B645,テーブル12[],4,FALSE),"")</f>
        <v/>
      </c>
      <c r="H645" s="25" t="str">
        <f t="shared" si="16"/>
        <v/>
      </c>
    </row>
    <row r="646" spans="4:8">
      <c r="D646" s="27" t="str">
        <f>IFERROR(VLOOKUP(A646,テーブル11[],2,FALSE),"")</f>
        <v/>
      </c>
      <c r="E646" s="25" t="str">
        <f>IFERROR(VLOOKUP($B646,テーブル12[],2,FALSE),"")</f>
        <v/>
      </c>
      <c r="F646" s="25" t="str">
        <f>IFERROR(VLOOKUP($B646,テーブル12[],3,FALSE),"")</f>
        <v/>
      </c>
      <c r="G646" s="31" t="str">
        <f>IFERROR(VLOOKUP($B646,テーブル12[],4,FALSE),"")</f>
        <v/>
      </c>
      <c r="H646" s="25" t="str">
        <f t="shared" si="16"/>
        <v/>
      </c>
    </row>
    <row r="647" spans="4:8">
      <c r="D647" s="27" t="str">
        <f>IFERROR(VLOOKUP(A647,テーブル11[],2,FALSE),"")</f>
        <v/>
      </c>
      <c r="E647" s="25" t="str">
        <f>IFERROR(VLOOKUP($B647,テーブル12[],2,FALSE),"")</f>
        <v/>
      </c>
      <c r="F647" s="25" t="str">
        <f>IFERROR(VLOOKUP($B647,テーブル12[],3,FALSE),"")</f>
        <v/>
      </c>
      <c r="G647" s="31" t="str">
        <f>IFERROR(VLOOKUP($B647,テーブル12[],4,FALSE),"")</f>
        <v/>
      </c>
      <c r="H647" s="25" t="str">
        <f t="shared" si="16"/>
        <v/>
      </c>
    </row>
    <row r="648" spans="4:8">
      <c r="D648" s="27" t="str">
        <f>IFERROR(VLOOKUP(A648,テーブル11[],2,FALSE),"")</f>
        <v/>
      </c>
      <c r="E648" s="25" t="str">
        <f>IFERROR(VLOOKUP($B648,テーブル12[],2,FALSE),"")</f>
        <v/>
      </c>
      <c r="F648" s="25" t="str">
        <f>IFERROR(VLOOKUP($B648,テーブル12[],3,FALSE),"")</f>
        <v/>
      </c>
      <c r="G648" s="31" t="str">
        <f>IFERROR(VLOOKUP($B648,テーブル12[],4,FALSE),"")</f>
        <v/>
      </c>
      <c r="H648" s="25" t="str">
        <f t="shared" si="16"/>
        <v/>
      </c>
    </row>
    <row r="649" spans="4:8">
      <c r="D649" s="27" t="str">
        <f>IFERROR(VLOOKUP(A649,テーブル11[],2,FALSE),"")</f>
        <v/>
      </c>
      <c r="E649" s="25" t="str">
        <f>IFERROR(VLOOKUP($B649,テーブル12[],2,FALSE),"")</f>
        <v/>
      </c>
      <c r="F649" s="25" t="str">
        <f>IFERROR(VLOOKUP($B649,テーブル12[],3,FALSE),"")</f>
        <v/>
      </c>
      <c r="G649" s="31" t="str">
        <f>IFERROR(VLOOKUP($B649,テーブル12[],4,FALSE),"")</f>
        <v/>
      </c>
      <c r="H649" s="25" t="str">
        <f t="shared" si="16"/>
        <v/>
      </c>
    </row>
    <row r="650" spans="4:8">
      <c r="D650" s="27" t="str">
        <f>IFERROR(VLOOKUP(A650,テーブル11[],2,FALSE),"")</f>
        <v/>
      </c>
      <c r="E650" s="25" t="str">
        <f>IFERROR(VLOOKUP($B650,テーブル12[],2,FALSE),"")</f>
        <v/>
      </c>
      <c r="F650" s="25" t="str">
        <f>IFERROR(VLOOKUP($B650,テーブル12[],3,FALSE),"")</f>
        <v/>
      </c>
      <c r="G650" s="31" t="str">
        <f>IFERROR(VLOOKUP($B650,テーブル12[],4,FALSE),"")</f>
        <v/>
      </c>
      <c r="H650" s="25" t="str">
        <f t="shared" si="16"/>
        <v/>
      </c>
    </row>
    <row r="651" spans="4:8">
      <c r="D651" s="27" t="str">
        <f>IFERROR(VLOOKUP(A651,テーブル11[],2,FALSE),"")</f>
        <v/>
      </c>
      <c r="E651" s="25" t="str">
        <f>IFERROR(VLOOKUP($B651,テーブル12[],2,FALSE),"")</f>
        <v/>
      </c>
      <c r="F651" s="25" t="str">
        <f>IFERROR(VLOOKUP($B651,テーブル12[],3,FALSE),"")</f>
        <v/>
      </c>
      <c r="G651" s="31" t="str">
        <f>IFERROR(VLOOKUP($B651,テーブル12[],4,FALSE),"")</f>
        <v/>
      </c>
      <c r="H651" s="25" t="str">
        <f t="shared" si="16"/>
        <v/>
      </c>
    </row>
    <row r="652" spans="4:8">
      <c r="D652" s="27" t="str">
        <f>IFERROR(VLOOKUP(A652,テーブル11[],2,FALSE),"")</f>
        <v/>
      </c>
      <c r="E652" s="25" t="str">
        <f>IFERROR(VLOOKUP($B652,テーブル12[],2,FALSE),"")</f>
        <v/>
      </c>
      <c r="F652" s="25" t="str">
        <f>IFERROR(VLOOKUP($B652,テーブル12[],3,FALSE),"")</f>
        <v/>
      </c>
      <c r="G652" s="31" t="str">
        <f>IFERROR(VLOOKUP($B652,テーブル12[],4,FALSE),"")</f>
        <v/>
      </c>
      <c r="H652" s="25" t="str">
        <f t="shared" si="16"/>
        <v/>
      </c>
    </row>
    <row r="653" spans="4:8">
      <c r="D653" s="27" t="str">
        <f>IFERROR(VLOOKUP(A653,テーブル11[],2,FALSE),"")</f>
        <v/>
      </c>
      <c r="E653" s="25" t="str">
        <f>IFERROR(VLOOKUP($B653,テーブル12[],2,FALSE),"")</f>
        <v/>
      </c>
      <c r="F653" s="25" t="str">
        <f>IFERROR(VLOOKUP($B653,テーブル12[],3,FALSE),"")</f>
        <v/>
      </c>
      <c r="G653" s="31" t="str">
        <f>IFERROR(VLOOKUP($B653,テーブル12[],4,FALSE),"")</f>
        <v/>
      </c>
      <c r="H653" s="25" t="str">
        <f t="shared" si="16"/>
        <v/>
      </c>
    </row>
    <row r="654" spans="4:8">
      <c r="D654" s="27" t="str">
        <f>IFERROR(VLOOKUP(A654,テーブル11[],2,FALSE),"")</f>
        <v/>
      </c>
      <c r="E654" s="25" t="str">
        <f>IFERROR(VLOOKUP($B654,テーブル12[],2,FALSE),"")</f>
        <v/>
      </c>
      <c r="F654" s="25" t="str">
        <f>IFERROR(VLOOKUP($B654,テーブル12[],3,FALSE),"")</f>
        <v/>
      </c>
      <c r="G654" s="31" t="str">
        <f>IFERROR(VLOOKUP($B654,テーブル12[],4,FALSE),"")</f>
        <v/>
      </c>
      <c r="H654" s="25" t="str">
        <f t="shared" si="16"/>
        <v/>
      </c>
    </row>
    <row r="655" spans="4:8">
      <c r="D655" s="27" t="str">
        <f>IFERROR(VLOOKUP(A655,テーブル11[],2,FALSE),"")</f>
        <v/>
      </c>
      <c r="E655" s="25" t="str">
        <f>IFERROR(VLOOKUP($B655,テーブル12[],2,FALSE),"")</f>
        <v/>
      </c>
      <c r="F655" s="25" t="str">
        <f>IFERROR(VLOOKUP($B655,テーブル12[],3,FALSE),"")</f>
        <v/>
      </c>
      <c r="G655" s="31" t="str">
        <f>IFERROR(VLOOKUP($B655,テーブル12[],4,FALSE),"")</f>
        <v/>
      </c>
      <c r="H655" s="25" t="str">
        <f t="shared" si="16"/>
        <v/>
      </c>
    </row>
    <row r="656" spans="4:8">
      <c r="D656" s="27" t="str">
        <f>IFERROR(VLOOKUP(A656,テーブル11[],2,FALSE),"")</f>
        <v/>
      </c>
      <c r="E656" s="25" t="str">
        <f>IFERROR(VLOOKUP($B656,テーブル12[],2,FALSE),"")</f>
        <v/>
      </c>
      <c r="F656" s="25" t="str">
        <f>IFERROR(VLOOKUP($B656,テーブル12[],3,FALSE),"")</f>
        <v/>
      </c>
      <c r="G656" s="31" t="str">
        <f>IFERROR(VLOOKUP($B656,テーブル12[],4,FALSE),"")</f>
        <v/>
      </c>
      <c r="H656" s="25" t="str">
        <f t="shared" si="16"/>
        <v/>
      </c>
    </row>
    <row r="657" spans="4:8">
      <c r="D657" s="27" t="str">
        <f>IFERROR(VLOOKUP(A657,テーブル11[],2,FALSE),"")</f>
        <v/>
      </c>
      <c r="E657" s="25" t="str">
        <f>IFERROR(VLOOKUP($B657,テーブル12[],2,FALSE),"")</f>
        <v/>
      </c>
      <c r="F657" s="25" t="str">
        <f>IFERROR(VLOOKUP($B657,テーブル12[],3,FALSE),"")</f>
        <v/>
      </c>
      <c r="G657" s="31" t="str">
        <f>IFERROR(VLOOKUP($B657,テーブル12[],4,FALSE),"")</f>
        <v/>
      </c>
      <c r="H657" s="25" t="str">
        <f t="shared" si="16"/>
        <v/>
      </c>
    </row>
    <row r="658" spans="4:8">
      <c r="D658" s="27" t="str">
        <f>IFERROR(VLOOKUP(A658,テーブル11[],2,FALSE),"")</f>
        <v/>
      </c>
      <c r="E658" s="25" t="str">
        <f>IFERROR(VLOOKUP($B658,テーブル12[],2,FALSE),"")</f>
        <v/>
      </c>
      <c r="F658" s="25" t="str">
        <f>IFERROR(VLOOKUP($B658,テーブル12[],3,FALSE),"")</f>
        <v/>
      </c>
      <c r="G658" s="31" t="str">
        <f>IFERROR(VLOOKUP($B658,テーブル12[],4,FALSE),"")</f>
        <v/>
      </c>
      <c r="H658" s="25" t="str">
        <f t="shared" si="16"/>
        <v/>
      </c>
    </row>
    <row r="659" spans="4:8">
      <c r="D659" s="27" t="str">
        <f>IFERROR(VLOOKUP(A659,テーブル11[],2,FALSE),"")</f>
        <v/>
      </c>
      <c r="E659" s="25" t="str">
        <f>IFERROR(VLOOKUP($B659,テーブル12[],2,FALSE),"")</f>
        <v/>
      </c>
      <c r="F659" s="25" t="str">
        <f>IFERROR(VLOOKUP($B659,テーブル12[],3,FALSE),"")</f>
        <v/>
      </c>
      <c r="G659" s="31" t="str">
        <f>IFERROR(VLOOKUP($B659,テーブル12[],4,FALSE),"")</f>
        <v/>
      </c>
      <c r="H659" s="25" t="str">
        <f t="shared" si="16"/>
        <v/>
      </c>
    </row>
    <row r="660" spans="4:8">
      <c r="D660" s="27" t="str">
        <f>IFERROR(VLOOKUP(A660,テーブル11[],2,FALSE),"")</f>
        <v/>
      </c>
      <c r="E660" s="25" t="str">
        <f>IFERROR(VLOOKUP($B660,テーブル12[],2,FALSE),"")</f>
        <v/>
      </c>
      <c r="F660" s="25" t="str">
        <f>IFERROR(VLOOKUP($B660,テーブル12[],3,FALSE),"")</f>
        <v/>
      </c>
      <c r="G660" s="31" t="str">
        <f>IFERROR(VLOOKUP($B660,テーブル12[],4,FALSE),"")</f>
        <v/>
      </c>
      <c r="H660" s="25" t="str">
        <f t="shared" si="16"/>
        <v/>
      </c>
    </row>
    <row r="661" spans="4:8">
      <c r="D661" s="27" t="str">
        <f>IFERROR(VLOOKUP(A661,テーブル11[],2,FALSE),"")</f>
        <v/>
      </c>
      <c r="E661" s="25" t="str">
        <f>IFERROR(VLOOKUP($B661,テーブル12[],2,FALSE),"")</f>
        <v/>
      </c>
      <c r="F661" s="25" t="str">
        <f>IFERROR(VLOOKUP($B661,テーブル12[],3,FALSE),"")</f>
        <v/>
      </c>
      <c r="G661" s="31" t="str">
        <f>IFERROR(VLOOKUP($B661,テーブル12[],4,FALSE),"")</f>
        <v/>
      </c>
      <c r="H661" s="25" t="str">
        <f t="shared" si="16"/>
        <v/>
      </c>
    </row>
    <row r="662" spans="4:8">
      <c r="D662" s="27" t="str">
        <f>IFERROR(VLOOKUP(A662,テーブル11[],2,FALSE),"")</f>
        <v/>
      </c>
      <c r="E662" s="25" t="str">
        <f>IFERROR(VLOOKUP($B662,テーブル12[],2,FALSE),"")</f>
        <v/>
      </c>
      <c r="F662" s="25" t="str">
        <f>IFERROR(VLOOKUP($B662,テーブル12[],3,FALSE),"")</f>
        <v/>
      </c>
      <c r="G662" s="31" t="str">
        <f>IFERROR(VLOOKUP($B662,テーブル12[],4,FALSE),"")</f>
        <v/>
      </c>
      <c r="H662" s="25" t="str">
        <f t="shared" si="16"/>
        <v/>
      </c>
    </row>
    <row r="663" spans="4:8">
      <c r="D663" s="27" t="str">
        <f>IFERROR(VLOOKUP(A663,テーブル11[],2,FALSE),"")</f>
        <v/>
      </c>
      <c r="E663" s="25" t="str">
        <f>IFERROR(VLOOKUP($B663,テーブル12[],2,FALSE),"")</f>
        <v/>
      </c>
      <c r="F663" s="25" t="str">
        <f>IFERROR(VLOOKUP($B663,テーブル12[],3,FALSE),"")</f>
        <v/>
      </c>
      <c r="G663" s="31" t="str">
        <f>IFERROR(VLOOKUP($B663,テーブル12[],4,FALSE),"")</f>
        <v/>
      </c>
      <c r="H663" s="25" t="str">
        <f t="shared" si="16"/>
        <v/>
      </c>
    </row>
    <row r="664" spans="4:8">
      <c r="D664" s="27" t="str">
        <f>IFERROR(VLOOKUP(A664,テーブル11[],2,FALSE),"")</f>
        <v/>
      </c>
      <c r="E664" s="25" t="str">
        <f>IFERROR(VLOOKUP($B664,テーブル12[],2,FALSE),"")</f>
        <v/>
      </c>
      <c r="F664" s="25" t="str">
        <f>IFERROR(VLOOKUP($B664,テーブル12[],3,FALSE),"")</f>
        <v/>
      </c>
      <c r="G664" s="31" t="str">
        <f>IFERROR(VLOOKUP($B664,テーブル12[],4,FALSE),"")</f>
        <v/>
      </c>
      <c r="H664" s="25" t="str">
        <f t="shared" si="16"/>
        <v/>
      </c>
    </row>
    <row r="665" spans="4:8">
      <c r="D665" s="27" t="str">
        <f>IFERROR(VLOOKUP(A665,テーブル11[],2,FALSE),"")</f>
        <v/>
      </c>
      <c r="E665" s="25" t="str">
        <f>IFERROR(VLOOKUP($B665,テーブル12[],2,FALSE),"")</f>
        <v/>
      </c>
      <c r="F665" s="25" t="str">
        <f>IFERROR(VLOOKUP($B665,テーブル12[],3,FALSE),"")</f>
        <v/>
      </c>
      <c r="G665" s="31" t="str">
        <f>IFERROR(VLOOKUP($B665,テーブル12[],4,FALSE),"")</f>
        <v/>
      </c>
      <c r="H665" s="25" t="str">
        <f t="shared" si="16"/>
        <v/>
      </c>
    </row>
    <row r="666" spans="4:8">
      <c r="D666" s="27" t="str">
        <f>IFERROR(VLOOKUP(A666,テーブル11[],2,FALSE),"")</f>
        <v/>
      </c>
      <c r="E666" s="25" t="str">
        <f>IFERROR(VLOOKUP($B666,テーブル12[],2,FALSE),"")</f>
        <v/>
      </c>
      <c r="F666" s="25" t="str">
        <f>IFERROR(VLOOKUP($B666,テーブル12[],3,FALSE),"")</f>
        <v/>
      </c>
      <c r="G666" s="31" t="str">
        <f>IFERROR(VLOOKUP($B666,テーブル12[],4,FALSE),"")</f>
        <v/>
      </c>
      <c r="H666" s="25" t="str">
        <f t="shared" si="16"/>
        <v/>
      </c>
    </row>
    <row r="667" spans="4:8">
      <c r="D667" s="27" t="str">
        <f>IFERROR(VLOOKUP(A667,テーブル11[],2,FALSE),"")</f>
        <v/>
      </c>
      <c r="E667" s="25" t="str">
        <f>IFERROR(VLOOKUP($B667,テーブル12[],2,FALSE),"")</f>
        <v/>
      </c>
      <c r="F667" s="25" t="str">
        <f>IFERROR(VLOOKUP($B667,テーブル12[],3,FALSE),"")</f>
        <v/>
      </c>
      <c r="G667" s="31" t="str">
        <f>IFERROR(VLOOKUP($B667,テーブル12[],4,FALSE),"")</f>
        <v/>
      </c>
      <c r="H667" s="25" t="str">
        <f t="shared" si="16"/>
        <v/>
      </c>
    </row>
    <row r="668" spans="4:8">
      <c r="D668" s="27" t="str">
        <f>IFERROR(VLOOKUP(A668,テーブル11[],2,FALSE),"")</f>
        <v/>
      </c>
      <c r="E668" s="25" t="str">
        <f>IFERROR(VLOOKUP($B668,テーブル12[],2,FALSE),"")</f>
        <v/>
      </c>
      <c r="F668" s="25" t="str">
        <f>IFERROR(VLOOKUP($B668,テーブル12[],3,FALSE),"")</f>
        <v/>
      </c>
      <c r="G668" s="31" t="str">
        <f>IFERROR(VLOOKUP($B668,テーブル12[],4,FALSE),"")</f>
        <v/>
      </c>
      <c r="H668" s="25" t="str">
        <f t="shared" si="16"/>
        <v/>
      </c>
    </row>
    <row r="669" spans="4:8">
      <c r="D669" s="27" t="str">
        <f>IFERROR(VLOOKUP(A669,テーブル11[],2,FALSE),"")</f>
        <v/>
      </c>
      <c r="E669" s="25" t="str">
        <f>IFERROR(VLOOKUP($B669,テーブル12[],2,FALSE),"")</f>
        <v/>
      </c>
      <c r="F669" s="25" t="str">
        <f>IFERROR(VLOOKUP($B669,テーブル12[],3,FALSE),"")</f>
        <v/>
      </c>
      <c r="G669" s="31" t="str">
        <f>IFERROR(VLOOKUP($B669,テーブル12[],4,FALSE),"")</f>
        <v/>
      </c>
      <c r="H669" s="25" t="str">
        <f t="shared" si="16"/>
        <v/>
      </c>
    </row>
    <row r="670" spans="4:8">
      <c r="D670" s="27" t="str">
        <f>IFERROR(VLOOKUP(A670,テーブル11[],2,FALSE),"")</f>
        <v/>
      </c>
      <c r="E670" s="25" t="str">
        <f>IFERROR(VLOOKUP($B670,テーブル12[],2,FALSE),"")</f>
        <v/>
      </c>
      <c r="F670" s="25" t="str">
        <f>IFERROR(VLOOKUP($B670,テーブル12[],3,FALSE),"")</f>
        <v/>
      </c>
      <c r="G670" s="31" t="str">
        <f>IFERROR(VLOOKUP($B670,テーブル12[],4,FALSE),"")</f>
        <v/>
      </c>
      <c r="H670" s="25" t="str">
        <f t="shared" si="16"/>
        <v/>
      </c>
    </row>
    <row r="671" spans="4:8">
      <c r="D671" s="27" t="str">
        <f>IFERROR(VLOOKUP(A671,テーブル11[],2,FALSE),"")</f>
        <v/>
      </c>
      <c r="E671" s="25" t="str">
        <f>IFERROR(VLOOKUP($B671,テーブル12[],2,FALSE),"")</f>
        <v/>
      </c>
      <c r="F671" s="25" t="str">
        <f>IFERROR(VLOOKUP($B671,テーブル12[],3,FALSE),"")</f>
        <v/>
      </c>
      <c r="G671" s="31" t="str">
        <f>IFERROR(VLOOKUP($B671,テーブル12[],4,FALSE),"")</f>
        <v/>
      </c>
      <c r="H671" s="25" t="str">
        <f t="shared" si="16"/>
        <v/>
      </c>
    </row>
    <row r="672" spans="4:8">
      <c r="D672" s="27" t="str">
        <f>IFERROR(VLOOKUP(A672,テーブル11[],2,FALSE),"")</f>
        <v/>
      </c>
      <c r="E672" s="25" t="str">
        <f>IFERROR(VLOOKUP($B672,テーブル12[],2,FALSE),"")</f>
        <v/>
      </c>
      <c r="F672" s="25" t="str">
        <f>IFERROR(VLOOKUP($B672,テーブル12[],3,FALSE),"")</f>
        <v/>
      </c>
      <c r="G672" s="31" t="str">
        <f>IFERROR(VLOOKUP($B672,テーブル12[],4,FALSE),"")</f>
        <v/>
      </c>
      <c r="H672" s="25" t="str">
        <f t="shared" si="16"/>
        <v/>
      </c>
    </row>
    <row r="673" spans="4:8">
      <c r="D673" s="27" t="str">
        <f>IFERROR(VLOOKUP(A673,テーブル11[],2,FALSE),"")</f>
        <v/>
      </c>
      <c r="E673" s="25" t="str">
        <f>IFERROR(VLOOKUP($B673,テーブル12[],2,FALSE),"")</f>
        <v/>
      </c>
      <c r="F673" s="25" t="str">
        <f>IFERROR(VLOOKUP($B673,テーブル12[],3,FALSE),"")</f>
        <v/>
      </c>
      <c r="G673" s="31" t="str">
        <f>IFERROR(VLOOKUP($B673,テーブル12[],4,FALSE),"")</f>
        <v/>
      </c>
      <c r="H673" s="25" t="str">
        <f t="shared" si="16"/>
        <v/>
      </c>
    </row>
    <row r="674" spans="4:8">
      <c r="D674" s="27" t="str">
        <f>IFERROR(VLOOKUP(A674,テーブル11[],2,FALSE),"")</f>
        <v/>
      </c>
      <c r="E674" s="25" t="str">
        <f>IFERROR(VLOOKUP($B674,テーブル12[],2,FALSE),"")</f>
        <v/>
      </c>
      <c r="F674" s="25" t="str">
        <f>IFERROR(VLOOKUP($B674,テーブル12[],3,FALSE),"")</f>
        <v/>
      </c>
      <c r="G674" s="31" t="str">
        <f>IFERROR(VLOOKUP($B674,テーブル12[],4,FALSE),"")</f>
        <v/>
      </c>
      <c r="H674" s="25" t="str">
        <f t="shared" si="16"/>
        <v/>
      </c>
    </row>
    <row r="675" spans="4:8">
      <c r="D675" s="27" t="str">
        <f>IFERROR(VLOOKUP(A675,テーブル11[],2,FALSE),"")</f>
        <v/>
      </c>
      <c r="E675" s="25" t="str">
        <f>IFERROR(VLOOKUP($B675,テーブル12[],2,FALSE),"")</f>
        <v/>
      </c>
      <c r="F675" s="25" t="str">
        <f>IFERROR(VLOOKUP($B675,テーブル12[],3,FALSE),"")</f>
        <v/>
      </c>
      <c r="G675" s="31" t="str">
        <f>IFERROR(VLOOKUP($B675,テーブル12[],4,FALSE),"")</f>
        <v/>
      </c>
      <c r="H675" s="25" t="str">
        <f t="shared" si="16"/>
        <v/>
      </c>
    </row>
    <row r="676" spans="4:8">
      <c r="D676" s="27" t="str">
        <f>IFERROR(VLOOKUP(A676,テーブル11[],2,FALSE),"")</f>
        <v/>
      </c>
      <c r="E676" s="25" t="str">
        <f>IFERROR(VLOOKUP($B676,テーブル12[],2,FALSE),"")</f>
        <v/>
      </c>
      <c r="F676" s="25" t="str">
        <f>IFERROR(VLOOKUP($B676,テーブル12[],3,FALSE),"")</f>
        <v/>
      </c>
      <c r="G676" s="31" t="str">
        <f>IFERROR(VLOOKUP($B676,テーブル12[],4,FALSE),"")</f>
        <v/>
      </c>
      <c r="H676" s="25" t="str">
        <f t="shared" si="16"/>
        <v/>
      </c>
    </row>
    <row r="677" spans="4:8">
      <c r="D677" s="27" t="str">
        <f>IFERROR(VLOOKUP(A677,テーブル11[],2,FALSE),"")</f>
        <v/>
      </c>
      <c r="E677" s="25" t="str">
        <f>IFERROR(VLOOKUP($B677,テーブル12[],2,FALSE),"")</f>
        <v/>
      </c>
      <c r="F677" s="25" t="str">
        <f>IFERROR(VLOOKUP($B677,テーブル12[],3,FALSE),"")</f>
        <v/>
      </c>
      <c r="G677" s="31" t="str">
        <f>IFERROR(VLOOKUP($B677,テーブル12[],4,FALSE),"")</f>
        <v/>
      </c>
      <c r="H677" s="25" t="str">
        <f t="shared" si="16"/>
        <v/>
      </c>
    </row>
    <row r="678" spans="4:8">
      <c r="D678" s="27" t="str">
        <f>IFERROR(VLOOKUP(A678,テーブル11[],2,FALSE),"")</f>
        <v/>
      </c>
      <c r="E678" s="25" t="str">
        <f>IFERROR(VLOOKUP($B678,テーブル12[],2,FALSE),"")</f>
        <v/>
      </c>
      <c r="F678" s="25" t="str">
        <f>IFERROR(VLOOKUP($B678,テーブル12[],3,FALSE),"")</f>
        <v/>
      </c>
      <c r="G678" s="31" t="str">
        <f>IFERROR(VLOOKUP($B678,テーブル12[],4,FALSE),"")</f>
        <v/>
      </c>
      <c r="H678" s="25" t="str">
        <f t="shared" si="16"/>
        <v/>
      </c>
    </row>
    <row r="679" spans="4:8">
      <c r="D679" s="27" t="str">
        <f>IFERROR(VLOOKUP(A679,テーブル11[],2,FALSE),"")</f>
        <v/>
      </c>
      <c r="E679" s="25" t="str">
        <f>IFERROR(VLOOKUP($B679,テーブル12[],2,FALSE),"")</f>
        <v/>
      </c>
      <c r="F679" s="25" t="str">
        <f>IFERROR(VLOOKUP($B679,テーブル12[],3,FALSE),"")</f>
        <v/>
      </c>
      <c r="G679" s="31" t="str">
        <f>IFERROR(VLOOKUP($B679,テーブル12[],4,FALSE),"")</f>
        <v/>
      </c>
      <c r="H679" s="25" t="str">
        <f t="shared" si="16"/>
        <v/>
      </c>
    </row>
    <row r="680" spans="4:8">
      <c r="D680" s="27" t="str">
        <f>IFERROR(VLOOKUP(A680,テーブル11[],2,FALSE),"")</f>
        <v/>
      </c>
      <c r="E680" s="25" t="str">
        <f>IFERROR(VLOOKUP($B680,テーブル12[],2,FALSE),"")</f>
        <v/>
      </c>
      <c r="F680" s="25" t="str">
        <f>IFERROR(VLOOKUP($B680,テーブル12[],3,FALSE),"")</f>
        <v/>
      </c>
      <c r="G680" s="31" t="str">
        <f>IFERROR(VLOOKUP($B680,テーブル12[],4,FALSE),"")</f>
        <v/>
      </c>
      <c r="H680" s="25" t="str">
        <f t="shared" si="16"/>
        <v/>
      </c>
    </row>
    <row r="681" spans="4:8">
      <c r="D681" s="27" t="str">
        <f>IFERROR(VLOOKUP(A681,テーブル11[],2,FALSE),"")</f>
        <v/>
      </c>
      <c r="E681" s="25" t="str">
        <f>IFERROR(VLOOKUP($B681,テーブル12[],2,FALSE),"")</f>
        <v/>
      </c>
      <c r="F681" s="25" t="str">
        <f>IFERROR(VLOOKUP($B681,テーブル12[],3,FALSE),"")</f>
        <v/>
      </c>
      <c r="G681" s="31" t="str">
        <f>IFERROR(VLOOKUP($B681,テーブル12[],4,FALSE),"")</f>
        <v/>
      </c>
      <c r="H681" s="25" t="str">
        <f t="shared" si="16"/>
        <v/>
      </c>
    </row>
    <row r="682" spans="4:8">
      <c r="D682" s="27" t="str">
        <f>IFERROR(VLOOKUP(A682,テーブル11[],2,FALSE),"")</f>
        <v/>
      </c>
      <c r="E682" s="25" t="str">
        <f>IFERROR(VLOOKUP($B682,テーブル12[],2,FALSE),"")</f>
        <v/>
      </c>
      <c r="F682" s="25" t="str">
        <f>IFERROR(VLOOKUP($B682,テーブル12[],3,FALSE),"")</f>
        <v/>
      </c>
      <c r="G682" s="31" t="str">
        <f>IFERROR(VLOOKUP($B682,テーブル12[],4,FALSE),"")</f>
        <v/>
      </c>
      <c r="H682" s="25" t="str">
        <f t="shared" si="16"/>
        <v/>
      </c>
    </row>
    <row r="683" spans="4:8">
      <c r="D683" s="27" t="str">
        <f>IFERROR(VLOOKUP(A683,テーブル11[],2,FALSE),"")</f>
        <v/>
      </c>
      <c r="E683" s="25" t="str">
        <f>IFERROR(VLOOKUP($B683,テーブル12[],2,FALSE),"")</f>
        <v/>
      </c>
      <c r="F683" s="25" t="str">
        <f>IFERROR(VLOOKUP($B683,テーブル12[],3,FALSE),"")</f>
        <v/>
      </c>
      <c r="G683" s="31" t="str">
        <f>IFERROR(VLOOKUP($B683,テーブル12[],4,FALSE),"")</f>
        <v/>
      </c>
      <c r="H683" s="25" t="str">
        <f t="shared" si="16"/>
        <v/>
      </c>
    </row>
    <row r="684" spans="4:8">
      <c r="D684" s="27" t="str">
        <f>IFERROR(VLOOKUP(A684,テーブル11[],2,FALSE),"")</f>
        <v/>
      </c>
      <c r="E684" s="25" t="str">
        <f>IFERROR(VLOOKUP($B684,テーブル12[],2,FALSE),"")</f>
        <v/>
      </c>
      <c r="F684" s="25" t="str">
        <f>IFERROR(VLOOKUP($B684,テーブル12[],3,FALSE),"")</f>
        <v/>
      </c>
      <c r="G684" s="31" t="str">
        <f>IFERROR(VLOOKUP($B684,テーブル12[],4,FALSE),"")</f>
        <v/>
      </c>
      <c r="H684" s="25" t="str">
        <f t="shared" si="16"/>
        <v/>
      </c>
    </row>
    <row r="685" spans="4:8">
      <c r="D685" s="27" t="str">
        <f>IFERROR(VLOOKUP(A685,テーブル11[],2,FALSE),"")</f>
        <v/>
      </c>
      <c r="E685" s="25" t="str">
        <f>IFERROR(VLOOKUP($B685,テーブル12[],2,FALSE),"")</f>
        <v/>
      </c>
      <c r="F685" s="25" t="str">
        <f>IFERROR(VLOOKUP($B685,テーブル12[],3,FALSE),"")</f>
        <v/>
      </c>
      <c r="G685" s="31" t="str">
        <f>IFERROR(VLOOKUP($B685,テーブル12[],4,FALSE),"")</f>
        <v/>
      </c>
      <c r="H685" s="25" t="str">
        <f t="shared" si="16"/>
        <v/>
      </c>
    </row>
    <row r="686" spans="4:8">
      <c r="D686" s="27" t="str">
        <f>IFERROR(VLOOKUP(A686,テーブル11[],2,FALSE),"")</f>
        <v/>
      </c>
      <c r="E686" s="25" t="str">
        <f>IFERROR(VLOOKUP($B686,テーブル12[],2,FALSE),"")</f>
        <v/>
      </c>
      <c r="F686" s="25" t="str">
        <f>IFERROR(VLOOKUP($B686,テーブル12[],3,FALSE),"")</f>
        <v/>
      </c>
      <c r="G686" s="31" t="str">
        <f>IFERROR(VLOOKUP($B686,テーブル12[],4,FALSE),"")</f>
        <v/>
      </c>
      <c r="H686" s="25" t="str">
        <f t="shared" si="16"/>
        <v/>
      </c>
    </row>
    <row r="687" spans="4:8">
      <c r="D687" s="27" t="str">
        <f>IFERROR(VLOOKUP(A687,テーブル11[],2,FALSE),"")</f>
        <v/>
      </c>
      <c r="E687" s="25" t="str">
        <f>IFERROR(VLOOKUP($B687,テーブル12[],2,FALSE),"")</f>
        <v/>
      </c>
      <c r="F687" s="25" t="str">
        <f>IFERROR(VLOOKUP($B687,テーブル12[],3,FALSE),"")</f>
        <v/>
      </c>
      <c r="G687" s="31" t="str">
        <f>IFERROR(VLOOKUP($B687,テーブル12[],4,FALSE),"")</f>
        <v/>
      </c>
      <c r="H687" s="25" t="str">
        <f t="shared" si="16"/>
        <v/>
      </c>
    </row>
    <row r="688" spans="4:8">
      <c r="D688" s="27" t="str">
        <f>IFERROR(VLOOKUP(A688,テーブル11[],2,FALSE),"")</f>
        <v/>
      </c>
      <c r="E688" s="25" t="str">
        <f>IFERROR(VLOOKUP($B688,テーブル12[],2,FALSE),"")</f>
        <v/>
      </c>
      <c r="F688" s="25" t="str">
        <f>IFERROR(VLOOKUP($B688,テーブル12[],3,FALSE),"")</f>
        <v/>
      </c>
      <c r="G688" s="31" t="str">
        <f>IFERROR(VLOOKUP($B688,テーブル12[],4,FALSE),"")</f>
        <v/>
      </c>
      <c r="H688" s="25" t="str">
        <f t="shared" si="16"/>
        <v/>
      </c>
    </row>
    <row r="689" spans="4:8">
      <c r="D689" s="27" t="str">
        <f>IFERROR(VLOOKUP(A689,テーブル11[],2,FALSE),"")</f>
        <v/>
      </c>
      <c r="E689" s="25" t="str">
        <f>IFERROR(VLOOKUP($B689,テーブル12[],2,FALSE),"")</f>
        <v/>
      </c>
      <c r="F689" s="25" t="str">
        <f>IFERROR(VLOOKUP($B689,テーブル12[],3,FALSE),"")</f>
        <v/>
      </c>
      <c r="G689" s="31" t="str">
        <f>IFERROR(VLOOKUP($B689,テーブル12[],4,FALSE),"")</f>
        <v/>
      </c>
      <c r="H689" s="25" t="str">
        <f t="shared" si="16"/>
        <v/>
      </c>
    </row>
    <row r="690" spans="4:8">
      <c r="D690" s="27" t="str">
        <f>IFERROR(VLOOKUP(A690,テーブル11[],2,FALSE),"")</f>
        <v/>
      </c>
      <c r="E690" s="25" t="str">
        <f>IFERROR(VLOOKUP($B690,テーブル12[],2,FALSE),"")</f>
        <v/>
      </c>
      <c r="F690" s="25" t="str">
        <f>IFERROR(VLOOKUP($B690,テーブル12[],3,FALSE),"")</f>
        <v/>
      </c>
      <c r="G690" s="31" t="str">
        <f>IFERROR(VLOOKUP($B690,テーブル12[],4,FALSE),"")</f>
        <v/>
      </c>
      <c r="H690" s="25" t="str">
        <f t="shared" si="16"/>
        <v/>
      </c>
    </row>
    <row r="691" spans="4:8">
      <c r="D691" s="27" t="str">
        <f>IFERROR(VLOOKUP(A691,テーブル11[],2,FALSE),"")</f>
        <v/>
      </c>
      <c r="E691" s="25" t="str">
        <f>IFERROR(VLOOKUP($B691,テーブル12[],2,FALSE),"")</f>
        <v/>
      </c>
      <c r="F691" s="25" t="str">
        <f>IFERROR(VLOOKUP($B691,テーブル12[],3,FALSE),"")</f>
        <v/>
      </c>
      <c r="G691" s="31" t="str">
        <f>IFERROR(VLOOKUP($B691,テーブル12[],4,FALSE),"")</f>
        <v/>
      </c>
      <c r="H691" s="25" t="str">
        <f t="shared" si="16"/>
        <v/>
      </c>
    </row>
    <row r="692" spans="4:8">
      <c r="D692" s="27" t="str">
        <f>IFERROR(VLOOKUP(A692,テーブル11[],2,FALSE),"")</f>
        <v/>
      </c>
      <c r="E692" s="25" t="str">
        <f>IFERROR(VLOOKUP($B692,テーブル12[],2,FALSE),"")</f>
        <v/>
      </c>
      <c r="F692" s="25" t="str">
        <f>IFERROR(VLOOKUP($B692,テーブル12[],3,FALSE),"")</f>
        <v/>
      </c>
      <c r="G692" s="31" t="str">
        <f>IFERROR(VLOOKUP($B692,テーブル12[],4,FALSE),"")</f>
        <v/>
      </c>
      <c r="H692" s="25" t="str">
        <f t="shared" si="16"/>
        <v/>
      </c>
    </row>
    <row r="693" spans="4:8">
      <c r="D693" s="27" t="str">
        <f>IFERROR(VLOOKUP(A693,テーブル11[],2,FALSE),"")</f>
        <v/>
      </c>
      <c r="E693" s="25" t="str">
        <f>IFERROR(VLOOKUP($B693,テーブル12[],2,FALSE),"")</f>
        <v/>
      </c>
      <c r="F693" s="25" t="str">
        <f>IFERROR(VLOOKUP($B693,テーブル12[],3,FALSE),"")</f>
        <v/>
      </c>
      <c r="G693" s="31" t="str">
        <f>IFERROR(VLOOKUP($B693,テーブル12[],4,FALSE),"")</f>
        <v/>
      </c>
      <c r="H693" s="25" t="str">
        <f t="shared" si="16"/>
        <v/>
      </c>
    </row>
    <row r="694" spans="4:8">
      <c r="D694" s="27" t="str">
        <f>IFERROR(VLOOKUP(A694,テーブル11[],2,FALSE),"")</f>
        <v/>
      </c>
      <c r="E694" s="25" t="str">
        <f>IFERROR(VLOOKUP($B694,テーブル12[],2,FALSE),"")</f>
        <v/>
      </c>
      <c r="F694" s="25" t="str">
        <f>IFERROR(VLOOKUP($B694,テーブル12[],3,FALSE),"")</f>
        <v/>
      </c>
      <c r="G694" s="31" t="str">
        <f>IFERROR(VLOOKUP($B694,テーブル12[],4,FALSE),"")</f>
        <v/>
      </c>
      <c r="H694" s="25" t="str">
        <f t="shared" si="16"/>
        <v/>
      </c>
    </row>
    <row r="695" spans="4:8">
      <c r="D695" s="27" t="str">
        <f>IFERROR(VLOOKUP(A695,テーブル11[],2,FALSE),"")</f>
        <v/>
      </c>
      <c r="E695" s="25" t="str">
        <f>IFERROR(VLOOKUP($B695,テーブル12[],2,FALSE),"")</f>
        <v/>
      </c>
      <c r="F695" s="25" t="str">
        <f>IFERROR(VLOOKUP($B695,テーブル12[],3,FALSE),"")</f>
        <v/>
      </c>
      <c r="G695" s="31" t="str">
        <f>IFERROR(VLOOKUP($B695,テーブル12[],4,FALSE),"")</f>
        <v/>
      </c>
      <c r="H695" s="25" t="str">
        <f t="shared" si="16"/>
        <v/>
      </c>
    </row>
    <row r="696" spans="4:8">
      <c r="D696" s="27" t="str">
        <f>IFERROR(VLOOKUP(A696,テーブル11[],2,FALSE),"")</f>
        <v/>
      </c>
      <c r="E696" s="25" t="str">
        <f>IFERROR(VLOOKUP($B696,テーブル12[],2,FALSE),"")</f>
        <v/>
      </c>
      <c r="F696" s="25" t="str">
        <f>IFERROR(VLOOKUP($B696,テーブル12[],3,FALSE),"")</f>
        <v/>
      </c>
      <c r="G696" s="31" t="str">
        <f>IFERROR(VLOOKUP($B696,テーブル12[],4,FALSE),"")</f>
        <v/>
      </c>
      <c r="H696" s="25" t="str">
        <f t="shared" si="16"/>
        <v/>
      </c>
    </row>
    <row r="697" spans="4:8">
      <c r="D697" s="27" t="str">
        <f>IFERROR(VLOOKUP(A697,テーブル11[],2,FALSE),"")</f>
        <v/>
      </c>
      <c r="E697" s="25" t="str">
        <f>IFERROR(VLOOKUP($B697,テーブル12[],2,FALSE),"")</f>
        <v/>
      </c>
      <c r="F697" s="25" t="str">
        <f>IFERROR(VLOOKUP($B697,テーブル12[],3,FALSE),"")</f>
        <v/>
      </c>
      <c r="G697" s="31" t="str">
        <f>IFERROR(VLOOKUP($B697,テーブル12[],4,FALSE),"")</f>
        <v/>
      </c>
      <c r="H697" s="25" t="str">
        <f t="shared" si="16"/>
        <v/>
      </c>
    </row>
    <row r="698" spans="4:8">
      <c r="D698" s="27" t="str">
        <f>IFERROR(VLOOKUP(A698,テーブル11[],2,FALSE),"")</f>
        <v/>
      </c>
      <c r="E698" s="25" t="str">
        <f>IFERROR(VLOOKUP($B698,テーブル12[],2,FALSE),"")</f>
        <v/>
      </c>
      <c r="F698" s="25" t="str">
        <f>IFERROR(VLOOKUP($B698,テーブル12[],3,FALSE),"")</f>
        <v/>
      </c>
      <c r="G698" s="31" t="str">
        <f>IFERROR(VLOOKUP($B698,テーブル12[],4,FALSE),"")</f>
        <v/>
      </c>
      <c r="H698" s="25" t="str">
        <f t="shared" si="16"/>
        <v/>
      </c>
    </row>
    <row r="699" spans="4:8">
      <c r="D699" s="27" t="str">
        <f>IFERROR(VLOOKUP(A699,テーブル11[],2,FALSE),"")</f>
        <v/>
      </c>
      <c r="E699" s="25" t="str">
        <f>IFERROR(VLOOKUP($B699,テーブル12[],2,FALSE),"")</f>
        <v/>
      </c>
      <c r="F699" s="25" t="str">
        <f>IFERROR(VLOOKUP($B699,テーブル12[],3,FALSE),"")</f>
        <v/>
      </c>
      <c r="G699" s="31" t="str">
        <f>IFERROR(VLOOKUP($B699,テーブル12[],4,FALSE),"")</f>
        <v/>
      </c>
      <c r="H699" s="25" t="str">
        <f t="shared" si="16"/>
        <v/>
      </c>
    </row>
    <row r="700" spans="4:8">
      <c r="D700" s="27" t="str">
        <f>IFERROR(VLOOKUP(A700,テーブル11[],2,FALSE),"")</f>
        <v/>
      </c>
      <c r="E700" s="25" t="str">
        <f>IFERROR(VLOOKUP($B700,テーブル12[],2,FALSE),"")</f>
        <v/>
      </c>
      <c r="F700" s="25" t="str">
        <f>IFERROR(VLOOKUP($B700,テーブル12[],3,FALSE),"")</f>
        <v/>
      </c>
      <c r="G700" s="31" t="str">
        <f>IFERROR(VLOOKUP($B700,テーブル12[],4,FALSE),"")</f>
        <v/>
      </c>
      <c r="H700" s="25" t="str">
        <f t="shared" si="16"/>
        <v/>
      </c>
    </row>
    <row r="701" spans="4:8">
      <c r="D701" s="27" t="str">
        <f>IFERROR(VLOOKUP(A701,テーブル11[],2,FALSE),"")</f>
        <v/>
      </c>
      <c r="E701" s="25" t="str">
        <f>IFERROR(VLOOKUP($B701,テーブル12[],2,FALSE),"")</f>
        <v/>
      </c>
      <c r="F701" s="25" t="str">
        <f>IFERROR(VLOOKUP($B701,テーブル12[],3,FALSE),"")</f>
        <v/>
      </c>
      <c r="G701" s="31" t="str">
        <f>IFERROR(VLOOKUP($B701,テーブル12[],4,FALSE),"")</f>
        <v/>
      </c>
      <c r="H701" s="25" t="str">
        <f t="shared" si="16"/>
        <v/>
      </c>
    </row>
    <row r="702" spans="4:8">
      <c r="D702" s="27" t="str">
        <f>IFERROR(VLOOKUP(A702,テーブル11[],2,FALSE),"")</f>
        <v/>
      </c>
      <c r="E702" s="25" t="str">
        <f>IFERROR(VLOOKUP($B702,テーブル12[],2,FALSE),"")</f>
        <v/>
      </c>
      <c r="F702" s="25" t="str">
        <f>IFERROR(VLOOKUP($B702,テーブル12[],3,FALSE),"")</f>
        <v/>
      </c>
      <c r="G702" s="31" t="str">
        <f>IFERROR(VLOOKUP($B702,テーブル12[],4,FALSE),"")</f>
        <v/>
      </c>
      <c r="H702" s="25" t="str">
        <f t="shared" si="16"/>
        <v/>
      </c>
    </row>
    <row r="703" spans="4:8">
      <c r="D703" s="27" t="str">
        <f>IFERROR(VLOOKUP(A703,テーブル11[],2,FALSE),"")</f>
        <v/>
      </c>
      <c r="E703" s="25" t="str">
        <f>IFERROR(VLOOKUP($B703,テーブル12[],2,FALSE),"")</f>
        <v/>
      </c>
      <c r="F703" s="25" t="str">
        <f>IFERROR(VLOOKUP($B703,テーブル12[],3,FALSE),"")</f>
        <v/>
      </c>
      <c r="G703" s="31" t="str">
        <f>IFERROR(VLOOKUP($B703,テーブル12[],4,FALSE),"")</f>
        <v/>
      </c>
      <c r="H703" s="25" t="str">
        <f t="shared" si="16"/>
        <v/>
      </c>
    </row>
    <row r="704" spans="4:8">
      <c r="D704" s="27" t="str">
        <f>IFERROR(VLOOKUP(A704,テーブル11[],2,FALSE),"")</f>
        <v/>
      </c>
      <c r="E704" s="25" t="str">
        <f>IFERROR(VLOOKUP($B704,テーブル12[],2,FALSE),"")</f>
        <v/>
      </c>
      <c r="F704" s="25" t="str">
        <f>IFERROR(VLOOKUP($B704,テーブル12[],3,FALSE),"")</f>
        <v/>
      </c>
      <c r="G704" s="31" t="str">
        <f>IFERROR(VLOOKUP($B704,テーブル12[],4,FALSE),"")</f>
        <v/>
      </c>
      <c r="H704" s="25" t="str">
        <f t="shared" si="16"/>
        <v/>
      </c>
    </row>
    <row r="705" spans="4:8">
      <c r="D705" s="27" t="str">
        <f>IFERROR(VLOOKUP(A705,テーブル11[],2,FALSE),"")</f>
        <v/>
      </c>
      <c r="E705" s="25" t="str">
        <f>IFERROR(VLOOKUP($B705,テーブル12[],2,FALSE),"")</f>
        <v/>
      </c>
      <c r="F705" s="25" t="str">
        <f>IFERROR(VLOOKUP($B705,テーブル12[],3,FALSE),"")</f>
        <v/>
      </c>
      <c r="G705" s="31" t="str">
        <f>IFERROR(VLOOKUP($B705,テーブル12[],4,FALSE),"")</f>
        <v/>
      </c>
      <c r="H705" s="25" t="str">
        <f t="shared" si="16"/>
        <v/>
      </c>
    </row>
    <row r="706" spans="4:8">
      <c r="D706" s="27" t="str">
        <f>IFERROR(VLOOKUP(A706,テーブル11[],2,FALSE),"")</f>
        <v/>
      </c>
      <c r="E706" s="25" t="str">
        <f>IFERROR(VLOOKUP($B706,テーブル12[],2,FALSE),"")</f>
        <v/>
      </c>
      <c r="F706" s="25" t="str">
        <f>IFERROR(VLOOKUP($B706,テーブル12[],3,FALSE),"")</f>
        <v/>
      </c>
      <c r="G706" s="31" t="str">
        <f>IFERROR(VLOOKUP($B706,テーブル12[],4,FALSE),"")</f>
        <v/>
      </c>
      <c r="H706" s="25" t="str">
        <f t="shared" ref="H706:H769" si="17">IF(C706=0,"",C706)</f>
        <v/>
      </c>
    </row>
    <row r="707" spans="4:8">
      <c r="D707" s="27" t="str">
        <f>IFERROR(VLOOKUP(A707,テーブル11[],2,FALSE),"")</f>
        <v/>
      </c>
      <c r="E707" s="25" t="str">
        <f>IFERROR(VLOOKUP($B707,テーブル12[],2,FALSE),"")</f>
        <v/>
      </c>
      <c r="F707" s="25" t="str">
        <f>IFERROR(VLOOKUP($B707,テーブル12[],3,FALSE),"")</f>
        <v/>
      </c>
      <c r="G707" s="31" t="str">
        <f>IFERROR(VLOOKUP($B707,テーブル12[],4,FALSE),"")</f>
        <v/>
      </c>
      <c r="H707" s="25" t="str">
        <f t="shared" si="17"/>
        <v/>
      </c>
    </row>
    <row r="708" spans="4:8">
      <c r="D708" s="27" t="str">
        <f>IFERROR(VLOOKUP(A708,テーブル11[],2,FALSE),"")</f>
        <v/>
      </c>
      <c r="E708" s="25" t="str">
        <f>IFERROR(VLOOKUP($B708,テーブル12[],2,FALSE),"")</f>
        <v/>
      </c>
      <c r="F708" s="25" t="str">
        <f>IFERROR(VLOOKUP($B708,テーブル12[],3,FALSE),"")</f>
        <v/>
      </c>
      <c r="G708" s="31" t="str">
        <f>IFERROR(VLOOKUP($B708,テーブル12[],4,FALSE),"")</f>
        <v/>
      </c>
      <c r="H708" s="25" t="str">
        <f t="shared" si="17"/>
        <v/>
      </c>
    </row>
    <row r="709" spans="4:8">
      <c r="D709" s="27" t="str">
        <f>IFERROR(VLOOKUP(A709,テーブル11[],2,FALSE),"")</f>
        <v/>
      </c>
      <c r="E709" s="25" t="str">
        <f>IFERROR(VLOOKUP($B709,テーブル12[],2,FALSE),"")</f>
        <v/>
      </c>
      <c r="F709" s="25" t="str">
        <f>IFERROR(VLOOKUP($B709,テーブル12[],3,FALSE),"")</f>
        <v/>
      </c>
      <c r="G709" s="31" t="str">
        <f>IFERROR(VLOOKUP($B709,テーブル12[],4,FALSE),"")</f>
        <v/>
      </c>
      <c r="H709" s="25" t="str">
        <f t="shared" si="17"/>
        <v/>
      </c>
    </row>
    <row r="710" spans="4:8">
      <c r="D710" s="27" t="str">
        <f>IFERROR(VLOOKUP(A710,テーブル11[],2,FALSE),"")</f>
        <v/>
      </c>
      <c r="E710" s="25" t="str">
        <f>IFERROR(VLOOKUP($B710,テーブル12[],2,FALSE),"")</f>
        <v/>
      </c>
      <c r="F710" s="25" t="str">
        <f>IFERROR(VLOOKUP($B710,テーブル12[],3,FALSE),"")</f>
        <v/>
      </c>
      <c r="G710" s="31" t="str">
        <f>IFERROR(VLOOKUP($B710,テーブル12[],4,FALSE),"")</f>
        <v/>
      </c>
      <c r="H710" s="25" t="str">
        <f t="shared" si="17"/>
        <v/>
      </c>
    </row>
    <row r="711" spans="4:8">
      <c r="D711" s="27" t="str">
        <f>IFERROR(VLOOKUP(A711,テーブル11[],2,FALSE),"")</f>
        <v/>
      </c>
      <c r="E711" s="25" t="str">
        <f>IFERROR(VLOOKUP($B711,テーブル12[],2,FALSE),"")</f>
        <v/>
      </c>
      <c r="F711" s="25" t="str">
        <f>IFERROR(VLOOKUP($B711,テーブル12[],3,FALSE),"")</f>
        <v/>
      </c>
      <c r="G711" s="31" t="str">
        <f>IFERROR(VLOOKUP($B711,テーブル12[],4,FALSE),"")</f>
        <v/>
      </c>
      <c r="H711" s="25" t="str">
        <f t="shared" si="17"/>
        <v/>
      </c>
    </row>
    <row r="712" spans="4:8">
      <c r="D712" s="27" t="str">
        <f>IFERROR(VLOOKUP(A712,テーブル11[],2,FALSE),"")</f>
        <v/>
      </c>
      <c r="E712" s="25" t="str">
        <f>IFERROR(VLOOKUP($B712,テーブル12[],2,FALSE),"")</f>
        <v/>
      </c>
      <c r="F712" s="25" t="str">
        <f>IFERROR(VLOOKUP($B712,テーブル12[],3,FALSE),"")</f>
        <v/>
      </c>
      <c r="G712" s="31" t="str">
        <f>IFERROR(VLOOKUP($B712,テーブル12[],4,FALSE),"")</f>
        <v/>
      </c>
      <c r="H712" s="25" t="str">
        <f t="shared" si="17"/>
        <v/>
      </c>
    </row>
    <row r="713" spans="4:8">
      <c r="D713" s="27" t="str">
        <f>IFERROR(VLOOKUP(A713,テーブル11[],2,FALSE),"")</f>
        <v/>
      </c>
      <c r="E713" s="25" t="str">
        <f>IFERROR(VLOOKUP($B713,テーブル12[],2,FALSE),"")</f>
        <v/>
      </c>
      <c r="F713" s="25" t="str">
        <f>IFERROR(VLOOKUP($B713,テーブル12[],3,FALSE),"")</f>
        <v/>
      </c>
      <c r="G713" s="31" t="str">
        <f>IFERROR(VLOOKUP($B713,テーブル12[],4,FALSE),"")</f>
        <v/>
      </c>
      <c r="H713" s="25" t="str">
        <f t="shared" si="17"/>
        <v/>
      </c>
    </row>
    <row r="714" spans="4:8">
      <c r="D714" s="27" t="str">
        <f>IFERROR(VLOOKUP(A714,テーブル11[],2,FALSE),"")</f>
        <v/>
      </c>
      <c r="E714" s="25" t="str">
        <f>IFERROR(VLOOKUP($B714,テーブル12[],2,FALSE),"")</f>
        <v/>
      </c>
      <c r="F714" s="25" t="str">
        <f>IFERROR(VLOOKUP($B714,テーブル12[],3,FALSE),"")</f>
        <v/>
      </c>
      <c r="G714" s="31" t="str">
        <f>IFERROR(VLOOKUP($B714,テーブル12[],4,FALSE),"")</f>
        <v/>
      </c>
      <c r="H714" s="25" t="str">
        <f t="shared" si="17"/>
        <v/>
      </c>
    </row>
    <row r="715" spans="4:8">
      <c r="D715" s="27" t="str">
        <f>IFERROR(VLOOKUP(A715,テーブル11[],2,FALSE),"")</f>
        <v/>
      </c>
      <c r="E715" s="25" t="str">
        <f>IFERROR(VLOOKUP($B715,テーブル12[],2,FALSE),"")</f>
        <v/>
      </c>
      <c r="F715" s="25" t="str">
        <f>IFERROR(VLOOKUP($B715,テーブル12[],3,FALSE),"")</f>
        <v/>
      </c>
      <c r="G715" s="31" t="str">
        <f>IFERROR(VLOOKUP($B715,テーブル12[],4,FALSE),"")</f>
        <v/>
      </c>
      <c r="H715" s="25" t="str">
        <f t="shared" si="17"/>
        <v/>
      </c>
    </row>
    <row r="716" spans="4:8">
      <c r="D716" s="27" t="str">
        <f>IFERROR(VLOOKUP(A716,テーブル11[],2,FALSE),"")</f>
        <v/>
      </c>
      <c r="E716" s="25" t="str">
        <f>IFERROR(VLOOKUP($B716,テーブル12[],2,FALSE),"")</f>
        <v/>
      </c>
      <c r="F716" s="25" t="str">
        <f>IFERROR(VLOOKUP($B716,テーブル12[],3,FALSE),"")</f>
        <v/>
      </c>
      <c r="G716" s="31" t="str">
        <f>IFERROR(VLOOKUP($B716,テーブル12[],4,FALSE),"")</f>
        <v/>
      </c>
      <c r="H716" s="25" t="str">
        <f t="shared" si="17"/>
        <v/>
      </c>
    </row>
    <row r="717" spans="4:8">
      <c r="D717" s="27" t="str">
        <f>IFERROR(VLOOKUP(A717,テーブル11[],2,FALSE),"")</f>
        <v/>
      </c>
      <c r="E717" s="25" t="str">
        <f>IFERROR(VLOOKUP($B717,テーブル12[],2,FALSE),"")</f>
        <v/>
      </c>
      <c r="F717" s="25" t="str">
        <f>IFERROR(VLOOKUP($B717,テーブル12[],3,FALSE),"")</f>
        <v/>
      </c>
      <c r="G717" s="31" t="str">
        <f>IFERROR(VLOOKUP($B717,テーブル12[],4,FALSE),"")</f>
        <v/>
      </c>
      <c r="H717" s="25" t="str">
        <f t="shared" si="17"/>
        <v/>
      </c>
    </row>
    <row r="718" spans="4:8">
      <c r="D718" s="27" t="str">
        <f>IFERROR(VLOOKUP(A718,テーブル11[],2,FALSE),"")</f>
        <v/>
      </c>
      <c r="E718" s="25" t="str">
        <f>IFERROR(VLOOKUP($B718,テーブル12[],2,FALSE),"")</f>
        <v/>
      </c>
      <c r="F718" s="25" t="str">
        <f>IFERROR(VLOOKUP($B718,テーブル12[],3,FALSE),"")</f>
        <v/>
      </c>
      <c r="G718" s="31" t="str">
        <f>IFERROR(VLOOKUP($B718,テーブル12[],4,FALSE),"")</f>
        <v/>
      </c>
      <c r="H718" s="25" t="str">
        <f t="shared" si="17"/>
        <v/>
      </c>
    </row>
    <row r="719" spans="4:8">
      <c r="D719" s="27" t="str">
        <f>IFERROR(VLOOKUP(A719,テーブル11[],2,FALSE),"")</f>
        <v/>
      </c>
      <c r="E719" s="25" t="str">
        <f>IFERROR(VLOOKUP($B719,テーブル12[],2,FALSE),"")</f>
        <v/>
      </c>
      <c r="F719" s="25" t="str">
        <f>IFERROR(VLOOKUP($B719,テーブル12[],3,FALSE),"")</f>
        <v/>
      </c>
      <c r="G719" s="31" t="str">
        <f>IFERROR(VLOOKUP($B719,テーブル12[],4,FALSE),"")</f>
        <v/>
      </c>
      <c r="H719" s="25" t="str">
        <f t="shared" si="17"/>
        <v/>
      </c>
    </row>
    <row r="720" spans="4:8">
      <c r="D720" s="27" t="str">
        <f>IFERROR(VLOOKUP(A720,テーブル11[],2,FALSE),"")</f>
        <v/>
      </c>
      <c r="E720" s="25" t="str">
        <f>IFERROR(VLOOKUP($B720,テーブル12[],2,FALSE),"")</f>
        <v/>
      </c>
      <c r="F720" s="25" t="str">
        <f>IFERROR(VLOOKUP($B720,テーブル12[],3,FALSE),"")</f>
        <v/>
      </c>
      <c r="G720" s="31" t="str">
        <f>IFERROR(VLOOKUP($B720,テーブル12[],4,FALSE),"")</f>
        <v/>
      </c>
      <c r="H720" s="25" t="str">
        <f t="shared" si="17"/>
        <v/>
      </c>
    </row>
    <row r="721" spans="4:8">
      <c r="D721" s="27" t="str">
        <f>IFERROR(VLOOKUP(A721,テーブル11[],2,FALSE),"")</f>
        <v/>
      </c>
      <c r="E721" s="25" t="str">
        <f>IFERROR(VLOOKUP($B721,テーブル12[],2,FALSE),"")</f>
        <v/>
      </c>
      <c r="F721" s="25" t="str">
        <f>IFERROR(VLOOKUP($B721,テーブル12[],3,FALSE),"")</f>
        <v/>
      </c>
      <c r="G721" s="31" t="str">
        <f>IFERROR(VLOOKUP($B721,テーブル12[],4,FALSE),"")</f>
        <v/>
      </c>
      <c r="H721" s="25" t="str">
        <f t="shared" si="17"/>
        <v/>
      </c>
    </row>
    <row r="722" spans="4:8">
      <c r="D722" s="27" t="str">
        <f>IFERROR(VLOOKUP(A722,テーブル11[],2,FALSE),"")</f>
        <v/>
      </c>
      <c r="E722" s="25" t="str">
        <f>IFERROR(VLOOKUP($B722,テーブル12[],2,FALSE),"")</f>
        <v/>
      </c>
      <c r="F722" s="25" t="str">
        <f>IFERROR(VLOOKUP($B722,テーブル12[],3,FALSE),"")</f>
        <v/>
      </c>
      <c r="G722" s="31" t="str">
        <f>IFERROR(VLOOKUP($B722,テーブル12[],4,FALSE),"")</f>
        <v/>
      </c>
      <c r="H722" s="25" t="str">
        <f t="shared" si="17"/>
        <v/>
      </c>
    </row>
    <row r="723" spans="4:8">
      <c r="D723" s="27" t="str">
        <f>IFERROR(VLOOKUP(A723,テーブル11[],2,FALSE),"")</f>
        <v/>
      </c>
      <c r="E723" s="25" t="str">
        <f>IFERROR(VLOOKUP($B723,テーブル12[],2,FALSE),"")</f>
        <v/>
      </c>
      <c r="F723" s="25" t="str">
        <f>IFERROR(VLOOKUP($B723,テーブル12[],3,FALSE),"")</f>
        <v/>
      </c>
      <c r="G723" s="31" t="str">
        <f>IFERROR(VLOOKUP($B723,テーブル12[],4,FALSE),"")</f>
        <v/>
      </c>
      <c r="H723" s="25" t="str">
        <f t="shared" si="17"/>
        <v/>
      </c>
    </row>
    <row r="724" spans="4:8">
      <c r="D724" s="27" t="str">
        <f>IFERROR(VLOOKUP(A724,テーブル11[],2,FALSE),"")</f>
        <v/>
      </c>
      <c r="E724" s="25" t="str">
        <f>IFERROR(VLOOKUP($B724,テーブル12[],2,FALSE),"")</f>
        <v/>
      </c>
      <c r="F724" s="25" t="str">
        <f>IFERROR(VLOOKUP($B724,テーブル12[],3,FALSE),"")</f>
        <v/>
      </c>
      <c r="G724" s="31" t="str">
        <f>IFERROR(VLOOKUP($B724,テーブル12[],4,FALSE),"")</f>
        <v/>
      </c>
      <c r="H724" s="25" t="str">
        <f t="shared" si="17"/>
        <v/>
      </c>
    </row>
    <row r="725" spans="4:8">
      <c r="D725" s="27" t="str">
        <f>IFERROR(VLOOKUP(A725,テーブル11[],2,FALSE),"")</f>
        <v/>
      </c>
      <c r="E725" s="25" t="str">
        <f>IFERROR(VLOOKUP($B725,テーブル12[],2,FALSE),"")</f>
        <v/>
      </c>
      <c r="F725" s="25" t="str">
        <f>IFERROR(VLOOKUP($B725,テーブル12[],3,FALSE),"")</f>
        <v/>
      </c>
      <c r="G725" s="31" t="str">
        <f>IFERROR(VLOOKUP($B725,テーブル12[],4,FALSE),"")</f>
        <v/>
      </c>
      <c r="H725" s="25" t="str">
        <f t="shared" si="17"/>
        <v/>
      </c>
    </row>
    <row r="726" spans="4:8">
      <c r="D726" s="27" t="str">
        <f>IFERROR(VLOOKUP(A726,テーブル11[],2,FALSE),"")</f>
        <v/>
      </c>
      <c r="E726" s="25" t="str">
        <f>IFERROR(VLOOKUP($B726,テーブル12[],2,FALSE),"")</f>
        <v/>
      </c>
      <c r="F726" s="25" t="str">
        <f>IFERROR(VLOOKUP($B726,テーブル12[],3,FALSE),"")</f>
        <v/>
      </c>
      <c r="G726" s="31" t="str">
        <f>IFERROR(VLOOKUP($B726,テーブル12[],4,FALSE),"")</f>
        <v/>
      </c>
      <c r="H726" s="25" t="str">
        <f t="shared" si="17"/>
        <v/>
      </c>
    </row>
    <row r="727" spans="4:8">
      <c r="D727" s="27" t="str">
        <f>IFERROR(VLOOKUP(A727,テーブル11[],2,FALSE),"")</f>
        <v/>
      </c>
      <c r="E727" s="25" t="str">
        <f>IFERROR(VLOOKUP($B727,テーブル12[],2,FALSE),"")</f>
        <v/>
      </c>
      <c r="F727" s="25" t="str">
        <f>IFERROR(VLOOKUP($B727,テーブル12[],3,FALSE),"")</f>
        <v/>
      </c>
      <c r="G727" s="31" t="str">
        <f>IFERROR(VLOOKUP($B727,テーブル12[],4,FALSE),"")</f>
        <v/>
      </c>
      <c r="H727" s="25" t="str">
        <f t="shared" si="17"/>
        <v/>
      </c>
    </row>
    <row r="728" spans="4:8">
      <c r="D728" s="27" t="str">
        <f>IFERROR(VLOOKUP(A728,テーブル11[],2,FALSE),"")</f>
        <v/>
      </c>
      <c r="E728" s="25" t="str">
        <f>IFERROR(VLOOKUP($B728,テーブル12[],2,FALSE),"")</f>
        <v/>
      </c>
      <c r="F728" s="25" t="str">
        <f>IFERROR(VLOOKUP($B728,テーブル12[],3,FALSE),"")</f>
        <v/>
      </c>
      <c r="G728" s="31" t="str">
        <f>IFERROR(VLOOKUP($B728,テーブル12[],4,FALSE),"")</f>
        <v/>
      </c>
      <c r="H728" s="25" t="str">
        <f t="shared" si="17"/>
        <v/>
      </c>
    </row>
    <row r="729" spans="4:8">
      <c r="D729" s="27" t="str">
        <f>IFERROR(VLOOKUP(A729,テーブル11[],2,FALSE),"")</f>
        <v/>
      </c>
      <c r="E729" s="25" t="str">
        <f>IFERROR(VLOOKUP($B729,テーブル12[],2,FALSE),"")</f>
        <v/>
      </c>
      <c r="F729" s="25" t="str">
        <f>IFERROR(VLOOKUP($B729,テーブル12[],3,FALSE),"")</f>
        <v/>
      </c>
      <c r="G729" s="31" t="str">
        <f>IFERROR(VLOOKUP($B729,テーブル12[],4,FALSE),"")</f>
        <v/>
      </c>
      <c r="H729" s="25" t="str">
        <f t="shared" si="17"/>
        <v/>
      </c>
    </row>
    <row r="730" spans="4:8">
      <c r="D730" s="27" t="str">
        <f>IFERROR(VLOOKUP(A730,テーブル11[],2,FALSE),"")</f>
        <v/>
      </c>
      <c r="E730" s="25" t="str">
        <f>IFERROR(VLOOKUP($B730,テーブル12[],2,FALSE),"")</f>
        <v/>
      </c>
      <c r="F730" s="25" t="str">
        <f>IFERROR(VLOOKUP($B730,テーブル12[],3,FALSE),"")</f>
        <v/>
      </c>
      <c r="G730" s="31" t="str">
        <f>IFERROR(VLOOKUP($B730,テーブル12[],4,FALSE),"")</f>
        <v/>
      </c>
      <c r="H730" s="25" t="str">
        <f t="shared" si="17"/>
        <v/>
      </c>
    </row>
    <row r="731" spans="4:8">
      <c r="D731" s="27" t="str">
        <f>IFERROR(VLOOKUP(A731,テーブル11[],2,FALSE),"")</f>
        <v/>
      </c>
      <c r="E731" s="25" t="str">
        <f>IFERROR(VLOOKUP($B731,テーブル12[],2,FALSE),"")</f>
        <v/>
      </c>
      <c r="F731" s="25" t="str">
        <f>IFERROR(VLOOKUP($B731,テーブル12[],3,FALSE),"")</f>
        <v/>
      </c>
      <c r="G731" s="31" t="str">
        <f>IFERROR(VLOOKUP($B731,テーブル12[],4,FALSE),"")</f>
        <v/>
      </c>
      <c r="H731" s="25" t="str">
        <f t="shared" si="17"/>
        <v/>
      </c>
    </row>
    <row r="732" spans="4:8">
      <c r="D732" s="27" t="str">
        <f>IFERROR(VLOOKUP(A732,テーブル11[],2,FALSE),"")</f>
        <v/>
      </c>
      <c r="E732" s="25" t="str">
        <f>IFERROR(VLOOKUP($B732,テーブル12[],2,FALSE),"")</f>
        <v/>
      </c>
      <c r="F732" s="25" t="str">
        <f>IFERROR(VLOOKUP($B732,テーブル12[],3,FALSE),"")</f>
        <v/>
      </c>
      <c r="G732" s="31" t="str">
        <f>IFERROR(VLOOKUP($B732,テーブル12[],4,FALSE),"")</f>
        <v/>
      </c>
      <c r="H732" s="25" t="str">
        <f t="shared" si="17"/>
        <v/>
      </c>
    </row>
    <row r="733" spans="4:8">
      <c r="D733" s="27" t="str">
        <f>IFERROR(VLOOKUP(A733,テーブル11[],2,FALSE),"")</f>
        <v/>
      </c>
      <c r="E733" s="25" t="str">
        <f>IFERROR(VLOOKUP($B733,テーブル12[],2,FALSE),"")</f>
        <v/>
      </c>
      <c r="F733" s="25" t="str">
        <f>IFERROR(VLOOKUP($B733,テーブル12[],3,FALSE),"")</f>
        <v/>
      </c>
      <c r="G733" s="31" t="str">
        <f>IFERROR(VLOOKUP($B733,テーブル12[],4,FALSE),"")</f>
        <v/>
      </c>
      <c r="H733" s="25" t="str">
        <f t="shared" si="17"/>
        <v/>
      </c>
    </row>
    <row r="734" spans="4:8">
      <c r="D734" s="27" t="str">
        <f>IFERROR(VLOOKUP(A734,テーブル11[],2,FALSE),"")</f>
        <v/>
      </c>
      <c r="E734" s="25" t="str">
        <f>IFERROR(VLOOKUP($B734,テーブル12[],2,FALSE),"")</f>
        <v/>
      </c>
      <c r="F734" s="25" t="str">
        <f>IFERROR(VLOOKUP($B734,テーブル12[],3,FALSE),"")</f>
        <v/>
      </c>
      <c r="G734" s="31" t="str">
        <f>IFERROR(VLOOKUP($B734,テーブル12[],4,FALSE),"")</f>
        <v/>
      </c>
      <c r="H734" s="25" t="str">
        <f t="shared" si="17"/>
        <v/>
      </c>
    </row>
    <row r="735" spans="4:8">
      <c r="D735" s="27" t="str">
        <f>IFERROR(VLOOKUP(A735,テーブル11[],2,FALSE),"")</f>
        <v/>
      </c>
      <c r="E735" s="25" t="str">
        <f>IFERROR(VLOOKUP($B735,テーブル12[],2,FALSE),"")</f>
        <v/>
      </c>
      <c r="F735" s="25" t="str">
        <f>IFERROR(VLOOKUP($B735,テーブル12[],3,FALSE),"")</f>
        <v/>
      </c>
      <c r="G735" s="31" t="str">
        <f>IFERROR(VLOOKUP($B735,テーブル12[],4,FALSE),"")</f>
        <v/>
      </c>
      <c r="H735" s="25" t="str">
        <f t="shared" si="17"/>
        <v/>
      </c>
    </row>
    <row r="736" spans="4:8">
      <c r="D736" s="27" t="str">
        <f>IFERROR(VLOOKUP(A736,テーブル11[],2,FALSE),"")</f>
        <v/>
      </c>
      <c r="E736" s="25" t="str">
        <f>IFERROR(VLOOKUP($B736,テーブル12[],2,FALSE),"")</f>
        <v/>
      </c>
      <c r="F736" s="25" t="str">
        <f>IFERROR(VLOOKUP($B736,テーブル12[],3,FALSE),"")</f>
        <v/>
      </c>
      <c r="G736" s="31" t="str">
        <f>IFERROR(VLOOKUP($B736,テーブル12[],4,FALSE),"")</f>
        <v/>
      </c>
      <c r="H736" s="25" t="str">
        <f t="shared" si="17"/>
        <v/>
      </c>
    </row>
    <row r="737" spans="4:8">
      <c r="D737" s="27" t="str">
        <f>IFERROR(VLOOKUP(A737,テーブル11[],2,FALSE),"")</f>
        <v/>
      </c>
      <c r="E737" s="25" t="str">
        <f>IFERROR(VLOOKUP($B737,テーブル12[],2,FALSE),"")</f>
        <v/>
      </c>
      <c r="F737" s="25" t="str">
        <f>IFERROR(VLOOKUP($B737,テーブル12[],3,FALSE),"")</f>
        <v/>
      </c>
      <c r="G737" s="31" t="str">
        <f>IFERROR(VLOOKUP($B737,テーブル12[],4,FALSE),"")</f>
        <v/>
      </c>
      <c r="H737" s="25" t="str">
        <f t="shared" si="17"/>
        <v/>
      </c>
    </row>
    <row r="738" spans="4:8">
      <c r="D738" s="27" t="str">
        <f>IFERROR(VLOOKUP(A738,テーブル11[],2,FALSE),"")</f>
        <v/>
      </c>
      <c r="E738" s="25" t="str">
        <f>IFERROR(VLOOKUP($B738,テーブル12[],2,FALSE),"")</f>
        <v/>
      </c>
      <c r="F738" s="25" t="str">
        <f>IFERROR(VLOOKUP($B738,テーブル12[],3,FALSE),"")</f>
        <v/>
      </c>
      <c r="G738" s="31" t="str">
        <f>IFERROR(VLOOKUP($B738,テーブル12[],4,FALSE),"")</f>
        <v/>
      </c>
      <c r="H738" s="25" t="str">
        <f t="shared" si="17"/>
        <v/>
      </c>
    </row>
    <row r="739" spans="4:8">
      <c r="D739" s="27" t="str">
        <f>IFERROR(VLOOKUP(A739,テーブル11[],2,FALSE),"")</f>
        <v/>
      </c>
      <c r="E739" s="25" t="str">
        <f>IFERROR(VLOOKUP($B739,テーブル12[],2,FALSE),"")</f>
        <v/>
      </c>
      <c r="F739" s="25" t="str">
        <f>IFERROR(VLOOKUP($B739,テーブル12[],3,FALSE),"")</f>
        <v/>
      </c>
      <c r="G739" s="31" t="str">
        <f>IFERROR(VLOOKUP($B739,テーブル12[],4,FALSE),"")</f>
        <v/>
      </c>
      <c r="H739" s="25" t="str">
        <f t="shared" si="17"/>
        <v/>
      </c>
    </row>
    <row r="740" spans="4:8">
      <c r="D740" s="27" t="str">
        <f>IFERROR(VLOOKUP(A740,テーブル11[],2,FALSE),"")</f>
        <v/>
      </c>
      <c r="E740" s="25" t="str">
        <f>IFERROR(VLOOKUP($B740,テーブル12[],2,FALSE),"")</f>
        <v/>
      </c>
      <c r="F740" s="25" t="str">
        <f>IFERROR(VLOOKUP($B740,テーブル12[],3,FALSE),"")</f>
        <v/>
      </c>
      <c r="G740" s="31" t="str">
        <f>IFERROR(VLOOKUP($B740,テーブル12[],4,FALSE),"")</f>
        <v/>
      </c>
      <c r="H740" s="25" t="str">
        <f t="shared" si="17"/>
        <v/>
      </c>
    </row>
    <row r="741" spans="4:8">
      <c r="D741" s="27" t="str">
        <f>IFERROR(VLOOKUP(A741,テーブル11[],2,FALSE),"")</f>
        <v/>
      </c>
      <c r="E741" s="25" t="str">
        <f>IFERROR(VLOOKUP($B741,テーブル12[],2,FALSE),"")</f>
        <v/>
      </c>
      <c r="F741" s="25" t="str">
        <f>IFERROR(VLOOKUP($B741,テーブル12[],3,FALSE),"")</f>
        <v/>
      </c>
      <c r="G741" s="31" t="str">
        <f>IFERROR(VLOOKUP($B741,テーブル12[],4,FALSE),"")</f>
        <v/>
      </c>
      <c r="H741" s="25" t="str">
        <f t="shared" si="17"/>
        <v/>
      </c>
    </row>
    <row r="742" spans="4:8">
      <c r="D742" s="27" t="str">
        <f>IFERROR(VLOOKUP(A742,テーブル11[],2,FALSE),"")</f>
        <v/>
      </c>
      <c r="E742" s="25" t="str">
        <f>IFERROR(VLOOKUP($B742,テーブル12[],2,FALSE),"")</f>
        <v/>
      </c>
      <c r="F742" s="25" t="str">
        <f>IFERROR(VLOOKUP($B742,テーブル12[],3,FALSE),"")</f>
        <v/>
      </c>
      <c r="G742" s="31" t="str">
        <f>IFERROR(VLOOKUP($B742,テーブル12[],4,FALSE),"")</f>
        <v/>
      </c>
      <c r="H742" s="25" t="str">
        <f t="shared" si="17"/>
        <v/>
      </c>
    </row>
    <row r="743" spans="4:8">
      <c r="D743" s="27" t="str">
        <f>IFERROR(VLOOKUP(A743,テーブル11[],2,FALSE),"")</f>
        <v/>
      </c>
      <c r="E743" s="25" t="str">
        <f>IFERROR(VLOOKUP($B743,テーブル12[],2,FALSE),"")</f>
        <v/>
      </c>
      <c r="F743" s="25" t="str">
        <f>IFERROR(VLOOKUP($B743,テーブル12[],3,FALSE),"")</f>
        <v/>
      </c>
      <c r="G743" s="31" t="str">
        <f>IFERROR(VLOOKUP($B743,テーブル12[],4,FALSE),"")</f>
        <v/>
      </c>
      <c r="H743" s="25" t="str">
        <f t="shared" si="17"/>
        <v/>
      </c>
    </row>
    <row r="744" spans="4:8">
      <c r="D744" s="27" t="str">
        <f>IFERROR(VLOOKUP(A744,テーブル11[],2,FALSE),"")</f>
        <v/>
      </c>
      <c r="E744" s="25" t="str">
        <f>IFERROR(VLOOKUP($B744,テーブル12[],2,FALSE),"")</f>
        <v/>
      </c>
      <c r="F744" s="25" t="str">
        <f>IFERROR(VLOOKUP($B744,テーブル12[],3,FALSE),"")</f>
        <v/>
      </c>
      <c r="G744" s="31" t="str">
        <f>IFERROR(VLOOKUP($B744,テーブル12[],4,FALSE),"")</f>
        <v/>
      </c>
      <c r="H744" s="25" t="str">
        <f t="shared" si="17"/>
        <v/>
      </c>
    </row>
    <row r="745" spans="4:8">
      <c r="D745" s="27" t="str">
        <f>IFERROR(VLOOKUP(A745,テーブル11[],2,FALSE),"")</f>
        <v/>
      </c>
      <c r="E745" s="25" t="str">
        <f>IFERROR(VLOOKUP($B745,テーブル12[],2,FALSE),"")</f>
        <v/>
      </c>
      <c r="F745" s="25" t="str">
        <f>IFERROR(VLOOKUP($B745,テーブル12[],3,FALSE),"")</f>
        <v/>
      </c>
      <c r="G745" s="31" t="str">
        <f>IFERROR(VLOOKUP($B745,テーブル12[],4,FALSE),"")</f>
        <v/>
      </c>
      <c r="H745" s="25" t="str">
        <f t="shared" si="17"/>
        <v/>
      </c>
    </row>
    <row r="746" spans="4:8">
      <c r="D746" s="27" t="str">
        <f>IFERROR(VLOOKUP(A746,テーブル11[],2,FALSE),"")</f>
        <v/>
      </c>
      <c r="E746" s="25" t="str">
        <f>IFERROR(VLOOKUP($B746,テーブル12[],2,FALSE),"")</f>
        <v/>
      </c>
      <c r="F746" s="25" t="str">
        <f>IFERROR(VLOOKUP($B746,テーブル12[],3,FALSE),"")</f>
        <v/>
      </c>
      <c r="G746" s="31" t="str">
        <f>IFERROR(VLOOKUP($B746,テーブル12[],4,FALSE),"")</f>
        <v/>
      </c>
      <c r="H746" s="25" t="str">
        <f t="shared" si="17"/>
        <v/>
      </c>
    </row>
    <row r="747" spans="4:8">
      <c r="D747" s="27" t="str">
        <f>IFERROR(VLOOKUP(A747,テーブル11[],2,FALSE),"")</f>
        <v/>
      </c>
      <c r="E747" s="25" t="str">
        <f>IFERROR(VLOOKUP($B747,テーブル12[],2,FALSE),"")</f>
        <v/>
      </c>
      <c r="F747" s="25" t="str">
        <f>IFERROR(VLOOKUP($B747,テーブル12[],3,FALSE),"")</f>
        <v/>
      </c>
      <c r="G747" s="31" t="str">
        <f>IFERROR(VLOOKUP($B747,テーブル12[],4,FALSE),"")</f>
        <v/>
      </c>
      <c r="H747" s="25" t="str">
        <f t="shared" si="17"/>
        <v/>
      </c>
    </row>
    <row r="748" spans="4:8">
      <c r="D748" s="27" t="str">
        <f>IFERROR(VLOOKUP(A748,テーブル11[],2,FALSE),"")</f>
        <v/>
      </c>
      <c r="E748" s="25" t="str">
        <f>IFERROR(VLOOKUP($B748,テーブル12[],2,FALSE),"")</f>
        <v/>
      </c>
      <c r="F748" s="25" t="str">
        <f>IFERROR(VLOOKUP($B748,テーブル12[],3,FALSE),"")</f>
        <v/>
      </c>
      <c r="G748" s="31" t="str">
        <f>IFERROR(VLOOKUP($B748,テーブル12[],4,FALSE),"")</f>
        <v/>
      </c>
      <c r="H748" s="25" t="str">
        <f t="shared" si="17"/>
        <v/>
      </c>
    </row>
    <row r="749" spans="4:8">
      <c r="D749" s="27" t="str">
        <f>IFERROR(VLOOKUP(A749,テーブル11[],2,FALSE),"")</f>
        <v/>
      </c>
      <c r="E749" s="25" t="str">
        <f>IFERROR(VLOOKUP($B749,テーブル12[],2,FALSE),"")</f>
        <v/>
      </c>
      <c r="F749" s="25" t="str">
        <f>IFERROR(VLOOKUP($B749,テーブル12[],3,FALSE),"")</f>
        <v/>
      </c>
      <c r="G749" s="31" t="str">
        <f>IFERROR(VLOOKUP($B749,テーブル12[],4,FALSE),"")</f>
        <v/>
      </c>
      <c r="H749" s="25" t="str">
        <f t="shared" si="17"/>
        <v/>
      </c>
    </row>
    <row r="750" spans="4:8">
      <c r="D750" s="27" t="str">
        <f>IFERROR(VLOOKUP(A750,テーブル11[],2,FALSE),"")</f>
        <v/>
      </c>
      <c r="E750" s="25" t="str">
        <f>IFERROR(VLOOKUP($B750,テーブル12[],2,FALSE),"")</f>
        <v/>
      </c>
      <c r="F750" s="25" t="str">
        <f>IFERROR(VLOOKUP($B750,テーブル12[],3,FALSE),"")</f>
        <v/>
      </c>
      <c r="G750" s="31" t="str">
        <f>IFERROR(VLOOKUP($B750,テーブル12[],4,FALSE),"")</f>
        <v/>
      </c>
      <c r="H750" s="25" t="str">
        <f t="shared" si="17"/>
        <v/>
      </c>
    </row>
    <row r="751" spans="4:8">
      <c r="D751" s="27" t="str">
        <f>IFERROR(VLOOKUP(A751,テーブル11[],2,FALSE),"")</f>
        <v/>
      </c>
      <c r="E751" s="25" t="str">
        <f>IFERROR(VLOOKUP($B751,テーブル12[],2,FALSE),"")</f>
        <v/>
      </c>
      <c r="F751" s="25" t="str">
        <f>IFERROR(VLOOKUP($B751,テーブル12[],3,FALSE),"")</f>
        <v/>
      </c>
      <c r="G751" s="31" t="str">
        <f>IFERROR(VLOOKUP($B751,テーブル12[],4,FALSE),"")</f>
        <v/>
      </c>
      <c r="H751" s="25" t="str">
        <f t="shared" si="17"/>
        <v/>
      </c>
    </row>
    <row r="752" spans="4:8">
      <c r="D752" s="27" t="str">
        <f>IFERROR(VLOOKUP(A752,テーブル11[],2,FALSE),"")</f>
        <v/>
      </c>
      <c r="E752" s="25" t="str">
        <f>IFERROR(VLOOKUP($B752,テーブル12[],2,FALSE),"")</f>
        <v/>
      </c>
      <c r="F752" s="25" t="str">
        <f>IFERROR(VLOOKUP($B752,テーブル12[],3,FALSE),"")</f>
        <v/>
      </c>
      <c r="G752" s="31" t="str">
        <f>IFERROR(VLOOKUP($B752,テーブル12[],4,FALSE),"")</f>
        <v/>
      </c>
      <c r="H752" s="25" t="str">
        <f t="shared" si="17"/>
        <v/>
      </c>
    </row>
    <row r="753" spans="4:8">
      <c r="D753" s="27" t="str">
        <f>IFERROR(VLOOKUP(A753,テーブル11[],2,FALSE),"")</f>
        <v/>
      </c>
      <c r="E753" s="25" t="str">
        <f>IFERROR(VLOOKUP($B753,テーブル12[],2,FALSE),"")</f>
        <v/>
      </c>
      <c r="F753" s="25" t="str">
        <f>IFERROR(VLOOKUP($B753,テーブル12[],3,FALSE),"")</f>
        <v/>
      </c>
      <c r="G753" s="31" t="str">
        <f>IFERROR(VLOOKUP($B753,テーブル12[],4,FALSE),"")</f>
        <v/>
      </c>
      <c r="H753" s="25" t="str">
        <f t="shared" si="17"/>
        <v/>
      </c>
    </row>
    <row r="754" spans="4:8">
      <c r="D754" s="27" t="str">
        <f>IFERROR(VLOOKUP(A754,テーブル11[],2,FALSE),"")</f>
        <v/>
      </c>
      <c r="E754" s="25" t="str">
        <f>IFERROR(VLOOKUP($B754,テーブル12[],2,FALSE),"")</f>
        <v/>
      </c>
      <c r="F754" s="25" t="str">
        <f>IFERROR(VLOOKUP($B754,テーブル12[],3,FALSE),"")</f>
        <v/>
      </c>
      <c r="G754" s="31" t="str">
        <f>IFERROR(VLOOKUP($B754,テーブル12[],4,FALSE),"")</f>
        <v/>
      </c>
      <c r="H754" s="25" t="str">
        <f t="shared" si="17"/>
        <v/>
      </c>
    </row>
    <row r="755" spans="4:8">
      <c r="D755" s="27" t="str">
        <f>IFERROR(VLOOKUP(A755,テーブル11[],2,FALSE),"")</f>
        <v/>
      </c>
      <c r="E755" s="25" t="str">
        <f>IFERROR(VLOOKUP($B755,テーブル12[],2,FALSE),"")</f>
        <v/>
      </c>
      <c r="F755" s="25" t="str">
        <f>IFERROR(VLOOKUP($B755,テーブル12[],3,FALSE),"")</f>
        <v/>
      </c>
      <c r="G755" s="31" t="str">
        <f>IFERROR(VLOOKUP($B755,テーブル12[],4,FALSE),"")</f>
        <v/>
      </c>
      <c r="H755" s="25" t="str">
        <f t="shared" si="17"/>
        <v/>
      </c>
    </row>
    <row r="756" spans="4:8">
      <c r="D756" s="27" t="str">
        <f>IFERROR(VLOOKUP(A756,テーブル11[],2,FALSE),"")</f>
        <v/>
      </c>
      <c r="E756" s="25" t="str">
        <f>IFERROR(VLOOKUP($B756,テーブル12[],2,FALSE),"")</f>
        <v/>
      </c>
      <c r="F756" s="25" t="str">
        <f>IFERROR(VLOOKUP($B756,テーブル12[],3,FALSE),"")</f>
        <v/>
      </c>
      <c r="G756" s="31" t="str">
        <f>IFERROR(VLOOKUP($B756,テーブル12[],4,FALSE),"")</f>
        <v/>
      </c>
      <c r="H756" s="25" t="str">
        <f t="shared" si="17"/>
        <v/>
      </c>
    </row>
    <row r="757" spans="4:8">
      <c r="D757" s="27" t="str">
        <f>IFERROR(VLOOKUP(A757,テーブル11[],2,FALSE),"")</f>
        <v/>
      </c>
      <c r="E757" s="25" t="str">
        <f>IFERROR(VLOOKUP($B757,テーブル12[],2,FALSE),"")</f>
        <v/>
      </c>
      <c r="F757" s="25" t="str">
        <f>IFERROR(VLOOKUP($B757,テーブル12[],3,FALSE),"")</f>
        <v/>
      </c>
      <c r="G757" s="31" t="str">
        <f>IFERROR(VLOOKUP($B757,テーブル12[],4,FALSE),"")</f>
        <v/>
      </c>
      <c r="H757" s="25" t="str">
        <f t="shared" si="17"/>
        <v/>
      </c>
    </row>
    <row r="758" spans="4:8">
      <c r="D758" s="27" t="str">
        <f>IFERROR(VLOOKUP(A758,テーブル11[],2,FALSE),"")</f>
        <v/>
      </c>
      <c r="E758" s="25" t="str">
        <f>IFERROR(VLOOKUP($B758,テーブル12[],2,FALSE),"")</f>
        <v/>
      </c>
      <c r="F758" s="25" t="str">
        <f>IFERROR(VLOOKUP($B758,テーブル12[],3,FALSE),"")</f>
        <v/>
      </c>
      <c r="G758" s="31" t="str">
        <f>IFERROR(VLOOKUP($B758,テーブル12[],4,FALSE),"")</f>
        <v/>
      </c>
      <c r="H758" s="25" t="str">
        <f t="shared" si="17"/>
        <v/>
      </c>
    </row>
    <row r="759" spans="4:8">
      <c r="D759" s="27" t="str">
        <f>IFERROR(VLOOKUP(A759,テーブル11[],2,FALSE),"")</f>
        <v/>
      </c>
      <c r="E759" s="25" t="str">
        <f>IFERROR(VLOOKUP($B759,テーブル12[],2,FALSE),"")</f>
        <v/>
      </c>
      <c r="F759" s="25" t="str">
        <f>IFERROR(VLOOKUP($B759,テーブル12[],3,FALSE),"")</f>
        <v/>
      </c>
      <c r="G759" s="31" t="str">
        <f>IFERROR(VLOOKUP($B759,テーブル12[],4,FALSE),"")</f>
        <v/>
      </c>
      <c r="H759" s="25" t="str">
        <f t="shared" si="17"/>
        <v/>
      </c>
    </row>
    <row r="760" spans="4:8">
      <c r="D760" s="27" t="str">
        <f>IFERROR(VLOOKUP(A760,テーブル11[],2,FALSE),"")</f>
        <v/>
      </c>
      <c r="E760" s="25" t="str">
        <f>IFERROR(VLOOKUP($B760,テーブル12[],2,FALSE),"")</f>
        <v/>
      </c>
      <c r="F760" s="25" t="str">
        <f>IFERROR(VLOOKUP($B760,テーブル12[],3,FALSE),"")</f>
        <v/>
      </c>
      <c r="G760" s="31" t="str">
        <f>IFERROR(VLOOKUP($B760,テーブル12[],4,FALSE),"")</f>
        <v/>
      </c>
      <c r="H760" s="25" t="str">
        <f t="shared" si="17"/>
        <v/>
      </c>
    </row>
    <row r="761" spans="4:8">
      <c r="D761" s="27" t="str">
        <f>IFERROR(VLOOKUP(A761,テーブル11[],2,FALSE),"")</f>
        <v/>
      </c>
      <c r="E761" s="25" t="str">
        <f>IFERROR(VLOOKUP($B761,テーブル12[],2,FALSE),"")</f>
        <v/>
      </c>
      <c r="F761" s="25" t="str">
        <f>IFERROR(VLOOKUP($B761,テーブル12[],3,FALSE),"")</f>
        <v/>
      </c>
      <c r="G761" s="31" t="str">
        <f>IFERROR(VLOOKUP($B761,テーブル12[],4,FALSE),"")</f>
        <v/>
      </c>
      <c r="H761" s="25" t="str">
        <f t="shared" si="17"/>
        <v/>
      </c>
    </row>
    <row r="762" spans="4:8">
      <c r="D762" s="27" t="str">
        <f>IFERROR(VLOOKUP(A762,テーブル11[],2,FALSE),"")</f>
        <v/>
      </c>
      <c r="E762" s="25" t="str">
        <f>IFERROR(VLOOKUP($B762,テーブル12[],2,FALSE),"")</f>
        <v/>
      </c>
      <c r="F762" s="25" t="str">
        <f>IFERROR(VLOOKUP($B762,テーブル12[],3,FALSE),"")</f>
        <v/>
      </c>
      <c r="G762" s="31" t="str">
        <f>IFERROR(VLOOKUP($B762,テーブル12[],4,FALSE),"")</f>
        <v/>
      </c>
      <c r="H762" s="25" t="str">
        <f t="shared" si="17"/>
        <v/>
      </c>
    </row>
    <row r="763" spans="4:8">
      <c r="D763" s="27" t="str">
        <f>IFERROR(VLOOKUP(A763,テーブル11[],2,FALSE),"")</f>
        <v/>
      </c>
      <c r="E763" s="25" t="str">
        <f>IFERROR(VLOOKUP($B763,テーブル12[],2,FALSE),"")</f>
        <v/>
      </c>
      <c r="F763" s="25" t="str">
        <f>IFERROR(VLOOKUP($B763,テーブル12[],3,FALSE),"")</f>
        <v/>
      </c>
      <c r="G763" s="31" t="str">
        <f>IFERROR(VLOOKUP($B763,テーブル12[],4,FALSE),"")</f>
        <v/>
      </c>
      <c r="H763" s="25" t="str">
        <f t="shared" si="17"/>
        <v/>
      </c>
    </row>
    <row r="764" spans="4:8">
      <c r="D764" s="27" t="str">
        <f>IFERROR(VLOOKUP(A764,テーブル11[],2,FALSE),"")</f>
        <v/>
      </c>
      <c r="E764" s="25" t="str">
        <f>IFERROR(VLOOKUP($B764,テーブル12[],2,FALSE),"")</f>
        <v/>
      </c>
      <c r="F764" s="25" t="str">
        <f>IFERROR(VLOOKUP($B764,テーブル12[],3,FALSE),"")</f>
        <v/>
      </c>
      <c r="G764" s="31" t="str">
        <f>IFERROR(VLOOKUP($B764,テーブル12[],4,FALSE),"")</f>
        <v/>
      </c>
      <c r="H764" s="25" t="str">
        <f t="shared" si="17"/>
        <v/>
      </c>
    </row>
    <row r="765" spans="4:8">
      <c r="D765" s="27" t="str">
        <f>IFERROR(VLOOKUP(A765,テーブル11[],2,FALSE),"")</f>
        <v/>
      </c>
      <c r="E765" s="25" t="str">
        <f>IFERROR(VLOOKUP($B765,テーブル12[],2,FALSE),"")</f>
        <v/>
      </c>
      <c r="F765" s="25" t="str">
        <f>IFERROR(VLOOKUP($B765,テーブル12[],3,FALSE),"")</f>
        <v/>
      </c>
      <c r="G765" s="31" t="str">
        <f>IFERROR(VLOOKUP($B765,テーブル12[],4,FALSE),"")</f>
        <v/>
      </c>
      <c r="H765" s="25" t="str">
        <f t="shared" si="17"/>
        <v/>
      </c>
    </row>
    <row r="766" spans="4:8">
      <c r="D766" s="27" t="str">
        <f>IFERROR(VLOOKUP(A766,テーブル11[],2,FALSE),"")</f>
        <v/>
      </c>
      <c r="E766" s="25" t="str">
        <f>IFERROR(VLOOKUP($B766,テーブル12[],2,FALSE),"")</f>
        <v/>
      </c>
      <c r="F766" s="25" t="str">
        <f>IFERROR(VLOOKUP($B766,テーブル12[],3,FALSE),"")</f>
        <v/>
      </c>
      <c r="G766" s="31" t="str">
        <f>IFERROR(VLOOKUP($B766,テーブル12[],4,FALSE),"")</f>
        <v/>
      </c>
      <c r="H766" s="25" t="str">
        <f t="shared" si="17"/>
        <v/>
      </c>
    </row>
    <row r="767" spans="4:8">
      <c r="D767" s="27" t="str">
        <f>IFERROR(VLOOKUP(A767,テーブル11[],2,FALSE),"")</f>
        <v/>
      </c>
      <c r="E767" s="25" t="str">
        <f>IFERROR(VLOOKUP($B767,テーブル12[],2,FALSE),"")</f>
        <v/>
      </c>
      <c r="F767" s="25" t="str">
        <f>IFERROR(VLOOKUP($B767,テーブル12[],3,FALSE),"")</f>
        <v/>
      </c>
      <c r="G767" s="31" t="str">
        <f>IFERROR(VLOOKUP($B767,テーブル12[],4,FALSE),"")</f>
        <v/>
      </c>
      <c r="H767" s="25" t="str">
        <f t="shared" si="17"/>
        <v/>
      </c>
    </row>
    <row r="768" spans="4:8">
      <c r="D768" s="27" t="str">
        <f>IFERROR(VLOOKUP(A768,テーブル11[],2,FALSE),"")</f>
        <v/>
      </c>
      <c r="E768" s="25" t="str">
        <f>IFERROR(VLOOKUP($B768,テーブル12[],2,FALSE),"")</f>
        <v/>
      </c>
      <c r="F768" s="25" t="str">
        <f>IFERROR(VLOOKUP($B768,テーブル12[],3,FALSE),"")</f>
        <v/>
      </c>
      <c r="G768" s="31" t="str">
        <f>IFERROR(VLOOKUP($B768,テーブル12[],4,FALSE),"")</f>
        <v/>
      </c>
      <c r="H768" s="25" t="str">
        <f t="shared" si="17"/>
        <v/>
      </c>
    </row>
    <row r="769" spans="4:8">
      <c r="D769" s="27" t="str">
        <f>IFERROR(VLOOKUP(A769,テーブル11[],2,FALSE),"")</f>
        <v/>
      </c>
      <c r="E769" s="25" t="str">
        <f>IFERROR(VLOOKUP($B769,テーブル12[],2,FALSE),"")</f>
        <v/>
      </c>
      <c r="F769" s="25" t="str">
        <f>IFERROR(VLOOKUP($B769,テーブル12[],3,FALSE),"")</f>
        <v/>
      </c>
      <c r="G769" s="31" t="str">
        <f>IFERROR(VLOOKUP($B769,テーブル12[],4,FALSE),"")</f>
        <v/>
      </c>
      <c r="H769" s="25" t="str">
        <f t="shared" si="17"/>
        <v/>
      </c>
    </row>
    <row r="770" spans="4:8">
      <c r="D770" s="27" t="str">
        <f>IFERROR(VLOOKUP(A770,テーブル11[],2,FALSE),"")</f>
        <v/>
      </c>
      <c r="E770" s="25" t="str">
        <f>IFERROR(VLOOKUP($B770,テーブル12[],2,FALSE),"")</f>
        <v/>
      </c>
      <c r="F770" s="25" t="str">
        <f>IFERROR(VLOOKUP($B770,テーブル12[],3,FALSE),"")</f>
        <v/>
      </c>
      <c r="G770" s="31" t="str">
        <f>IFERROR(VLOOKUP($B770,テーブル12[],4,FALSE),"")</f>
        <v/>
      </c>
      <c r="H770" s="25" t="str">
        <f t="shared" ref="H770:H833" si="18">IF(C770=0,"",C770)</f>
        <v/>
      </c>
    </row>
    <row r="771" spans="4:8">
      <c r="D771" s="27" t="str">
        <f>IFERROR(VLOOKUP(A771,テーブル11[],2,FALSE),"")</f>
        <v/>
      </c>
      <c r="E771" s="25" t="str">
        <f>IFERROR(VLOOKUP($B771,テーブル12[],2,FALSE),"")</f>
        <v/>
      </c>
      <c r="F771" s="25" t="str">
        <f>IFERROR(VLOOKUP($B771,テーブル12[],3,FALSE),"")</f>
        <v/>
      </c>
      <c r="G771" s="31" t="str">
        <f>IFERROR(VLOOKUP($B771,テーブル12[],4,FALSE),"")</f>
        <v/>
      </c>
      <c r="H771" s="25" t="str">
        <f t="shared" si="18"/>
        <v/>
      </c>
    </row>
    <row r="772" spans="4:8">
      <c r="D772" s="27" t="str">
        <f>IFERROR(VLOOKUP(A772,テーブル11[],2,FALSE),"")</f>
        <v/>
      </c>
      <c r="E772" s="25" t="str">
        <f>IFERROR(VLOOKUP($B772,テーブル12[],2,FALSE),"")</f>
        <v/>
      </c>
      <c r="F772" s="25" t="str">
        <f>IFERROR(VLOOKUP($B772,テーブル12[],3,FALSE),"")</f>
        <v/>
      </c>
      <c r="G772" s="31" t="str">
        <f>IFERROR(VLOOKUP($B772,テーブル12[],4,FALSE),"")</f>
        <v/>
      </c>
      <c r="H772" s="25" t="str">
        <f t="shared" si="18"/>
        <v/>
      </c>
    </row>
    <row r="773" spans="4:8">
      <c r="D773" s="27" t="str">
        <f>IFERROR(VLOOKUP(A773,テーブル11[],2,FALSE),"")</f>
        <v/>
      </c>
      <c r="E773" s="25" t="str">
        <f>IFERROR(VLOOKUP($B773,テーブル12[],2,FALSE),"")</f>
        <v/>
      </c>
      <c r="F773" s="25" t="str">
        <f>IFERROR(VLOOKUP($B773,テーブル12[],3,FALSE),"")</f>
        <v/>
      </c>
      <c r="G773" s="31" t="str">
        <f>IFERROR(VLOOKUP($B773,テーブル12[],4,FALSE),"")</f>
        <v/>
      </c>
      <c r="H773" s="25" t="str">
        <f t="shared" si="18"/>
        <v/>
      </c>
    </row>
    <row r="774" spans="4:8">
      <c r="D774" s="27" t="str">
        <f>IFERROR(VLOOKUP(A774,テーブル11[],2,FALSE),"")</f>
        <v/>
      </c>
      <c r="E774" s="25" t="str">
        <f>IFERROR(VLOOKUP($B774,テーブル12[],2,FALSE),"")</f>
        <v/>
      </c>
      <c r="F774" s="25" t="str">
        <f>IFERROR(VLOOKUP($B774,テーブル12[],3,FALSE),"")</f>
        <v/>
      </c>
      <c r="G774" s="31" t="str">
        <f>IFERROR(VLOOKUP($B774,テーブル12[],4,FALSE),"")</f>
        <v/>
      </c>
      <c r="H774" s="25" t="str">
        <f t="shared" si="18"/>
        <v/>
      </c>
    </row>
    <row r="775" spans="4:8">
      <c r="D775" s="27" t="str">
        <f>IFERROR(VLOOKUP(A775,テーブル11[],2,FALSE),"")</f>
        <v/>
      </c>
      <c r="E775" s="25" t="str">
        <f>IFERROR(VLOOKUP($B775,テーブル12[],2,FALSE),"")</f>
        <v/>
      </c>
      <c r="F775" s="25" t="str">
        <f>IFERROR(VLOOKUP($B775,テーブル12[],3,FALSE),"")</f>
        <v/>
      </c>
      <c r="G775" s="31" t="str">
        <f>IFERROR(VLOOKUP($B775,テーブル12[],4,FALSE),"")</f>
        <v/>
      </c>
      <c r="H775" s="25" t="str">
        <f t="shared" si="18"/>
        <v/>
      </c>
    </row>
    <row r="776" spans="4:8">
      <c r="D776" s="27" t="str">
        <f>IFERROR(VLOOKUP(A776,テーブル11[],2,FALSE),"")</f>
        <v/>
      </c>
      <c r="E776" s="25" t="str">
        <f>IFERROR(VLOOKUP($B776,テーブル12[],2,FALSE),"")</f>
        <v/>
      </c>
      <c r="F776" s="25" t="str">
        <f>IFERROR(VLOOKUP($B776,テーブル12[],3,FALSE),"")</f>
        <v/>
      </c>
      <c r="G776" s="31" t="str">
        <f>IFERROR(VLOOKUP($B776,テーブル12[],4,FALSE),"")</f>
        <v/>
      </c>
      <c r="H776" s="25" t="str">
        <f t="shared" si="18"/>
        <v/>
      </c>
    </row>
    <row r="777" spans="4:8">
      <c r="D777" s="27" t="str">
        <f>IFERROR(VLOOKUP(A777,テーブル11[],2,FALSE),"")</f>
        <v/>
      </c>
      <c r="E777" s="25" t="str">
        <f>IFERROR(VLOOKUP($B777,テーブル12[],2,FALSE),"")</f>
        <v/>
      </c>
      <c r="F777" s="25" t="str">
        <f>IFERROR(VLOOKUP($B777,テーブル12[],3,FALSE),"")</f>
        <v/>
      </c>
      <c r="G777" s="31" t="str">
        <f>IFERROR(VLOOKUP($B777,テーブル12[],4,FALSE),"")</f>
        <v/>
      </c>
      <c r="H777" s="25" t="str">
        <f t="shared" si="18"/>
        <v/>
      </c>
    </row>
    <row r="778" spans="4:8">
      <c r="D778" s="27" t="str">
        <f>IFERROR(VLOOKUP(A778,テーブル11[],2,FALSE),"")</f>
        <v/>
      </c>
      <c r="E778" s="25" t="str">
        <f>IFERROR(VLOOKUP($B778,テーブル12[],2,FALSE),"")</f>
        <v/>
      </c>
      <c r="F778" s="25" t="str">
        <f>IFERROR(VLOOKUP($B778,テーブル12[],3,FALSE),"")</f>
        <v/>
      </c>
      <c r="G778" s="31" t="str">
        <f>IFERROR(VLOOKUP($B778,テーブル12[],4,FALSE),"")</f>
        <v/>
      </c>
      <c r="H778" s="25" t="str">
        <f t="shared" si="18"/>
        <v/>
      </c>
    </row>
    <row r="779" spans="4:8">
      <c r="D779" s="27" t="str">
        <f>IFERROR(VLOOKUP(A779,テーブル11[],2,FALSE),"")</f>
        <v/>
      </c>
      <c r="E779" s="25" t="str">
        <f>IFERROR(VLOOKUP($B779,テーブル12[],2,FALSE),"")</f>
        <v/>
      </c>
      <c r="F779" s="25" t="str">
        <f>IFERROR(VLOOKUP($B779,テーブル12[],3,FALSE),"")</f>
        <v/>
      </c>
      <c r="G779" s="31" t="str">
        <f>IFERROR(VLOOKUP($B779,テーブル12[],4,FALSE),"")</f>
        <v/>
      </c>
      <c r="H779" s="25" t="str">
        <f t="shared" si="18"/>
        <v/>
      </c>
    </row>
    <row r="780" spans="4:8">
      <c r="D780" s="27" t="str">
        <f>IFERROR(VLOOKUP(A780,テーブル11[],2,FALSE),"")</f>
        <v/>
      </c>
      <c r="E780" s="25" t="str">
        <f>IFERROR(VLOOKUP($B780,テーブル12[],2,FALSE),"")</f>
        <v/>
      </c>
      <c r="F780" s="25" t="str">
        <f>IFERROR(VLOOKUP($B780,テーブル12[],3,FALSE),"")</f>
        <v/>
      </c>
      <c r="G780" s="31" t="str">
        <f>IFERROR(VLOOKUP($B780,テーブル12[],4,FALSE),"")</f>
        <v/>
      </c>
      <c r="H780" s="25" t="str">
        <f t="shared" si="18"/>
        <v/>
      </c>
    </row>
    <row r="781" spans="4:8">
      <c r="D781" s="27" t="str">
        <f>IFERROR(VLOOKUP(A781,テーブル11[],2,FALSE),"")</f>
        <v/>
      </c>
      <c r="E781" s="25" t="str">
        <f>IFERROR(VLOOKUP($B781,テーブル12[],2,FALSE),"")</f>
        <v/>
      </c>
      <c r="F781" s="25" t="str">
        <f>IFERROR(VLOOKUP($B781,テーブル12[],3,FALSE),"")</f>
        <v/>
      </c>
      <c r="G781" s="31" t="str">
        <f>IFERROR(VLOOKUP($B781,テーブル12[],4,FALSE),"")</f>
        <v/>
      </c>
      <c r="H781" s="25" t="str">
        <f t="shared" si="18"/>
        <v/>
      </c>
    </row>
    <row r="782" spans="4:8">
      <c r="D782" s="27" t="str">
        <f>IFERROR(VLOOKUP(A782,テーブル11[],2,FALSE),"")</f>
        <v/>
      </c>
      <c r="E782" s="25" t="str">
        <f>IFERROR(VLOOKUP($B782,テーブル12[],2,FALSE),"")</f>
        <v/>
      </c>
      <c r="F782" s="25" t="str">
        <f>IFERROR(VLOOKUP($B782,テーブル12[],3,FALSE),"")</f>
        <v/>
      </c>
      <c r="G782" s="31" t="str">
        <f>IFERROR(VLOOKUP($B782,テーブル12[],4,FALSE),"")</f>
        <v/>
      </c>
      <c r="H782" s="25" t="str">
        <f t="shared" si="18"/>
        <v/>
      </c>
    </row>
    <row r="783" spans="4:8">
      <c r="D783" s="27" t="str">
        <f>IFERROR(VLOOKUP(A783,テーブル11[],2,FALSE),"")</f>
        <v/>
      </c>
      <c r="E783" s="25" t="str">
        <f>IFERROR(VLOOKUP($B783,テーブル12[],2,FALSE),"")</f>
        <v/>
      </c>
      <c r="F783" s="25" t="str">
        <f>IFERROR(VLOOKUP($B783,テーブル12[],3,FALSE),"")</f>
        <v/>
      </c>
      <c r="G783" s="31" t="str">
        <f>IFERROR(VLOOKUP($B783,テーブル12[],4,FALSE),"")</f>
        <v/>
      </c>
      <c r="H783" s="25" t="str">
        <f t="shared" si="18"/>
        <v/>
      </c>
    </row>
    <row r="784" spans="4:8">
      <c r="D784" s="27" t="str">
        <f>IFERROR(VLOOKUP(A784,テーブル11[],2,FALSE),"")</f>
        <v/>
      </c>
      <c r="E784" s="25" t="str">
        <f>IFERROR(VLOOKUP($B784,テーブル12[],2,FALSE),"")</f>
        <v/>
      </c>
      <c r="F784" s="25" t="str">
        <f>IFERROR(VLOOKUP($B784,テーブル12[],3,FALSE),"")</f>
        <v/>
      </c>
      <c r="G784" s="31" t="str">
        <f>IFERROR(VLOOKUP($B784,テーブル12[],4,FALSE),"")</f>
        <v/>
      </c>
      <c r="H784" s="25" t="str">
        <f t="shared" si="18"/>
        <v/>
      </c>
    </row>
    <row r="785" spans="4:8">
      <c r="D785" s="27" t="str">
        <f>IFERROR(VLOOKUP(A785,テーブル11[],2,FALSE),"")</f>
        <v/>
      </c>
      <c r="E785" s="25" t="str">
        <f>IFERROR(VLOOKUP($B785,テーブル12[],2,FALSE),"")</f>
        <v/>
      </c>
      <c r="F785" s="25" t="str">
        <f>IFERROR(VLOOKUP($B785,テーブル12[],3,FALSE),"")</f>
        <v/>
      </c>
      <c r="G785" s="31" t="str">
        <f>IFERROR(VLOOKUP($B785,テーブル12[],4,FALSE),"")</f>
        <v/>
      </c>
      <c r="H785" s="25" t="str">
        <f t="shared" si="18"/>
        <v/>
      </c>
    </row>
    <row r="786" spans="4:8">
      <c r="D786" s="27" t="str">
        <f>IFERROR(VLOOKUP(A786,テーブル11[],2,FALSE),"")</f>
        <v/>
      </c>
      <c r="E786" s="25" t="str">
        <f>IFERROR(VLOOKUP($B786,テーブル12[],2,FALSE),"")</f>
        <v/>
      </c>
      <c r="F786" s="25" t="str">
        <f>IFERROR(VLOOKUP($B786,テーブル12[],3,FALSE),"")</f>
        <v/>
      </c>
      <c r="G786" s="31" t="str">
        <f>IFERROR(VLOOKUP($B786,テーブル12[],4,FALSE),"")</f>
        <v/>
      </c>
      <c r="H786" s="25" t="str">
        <f t="shared" si="18"/>
        <v/>
      </c>
    </row>
    <row r="787" spans="4:8">
      <c r="D787" s="27" t="str">
        <f>IFERROR(VLOOKUP(A787,テーブル11[],2,FALSE),"")</f>
        <v/>
      </c>
      <c r="E787" s="25" t="str">
        <f>IFERROR(VLOOKUP($B787,テーブル12[],2,FALSE),"")</f>
        <v/>
      </c>
      <c r="F787" s="25" t="str">
        <f>IFERROR(VLOOKUP($B787,テーブル12[],3,FALSE),"")</f>
        <v/>
      </c>
      <c r="G787" s="31" t="str">
        <f>IFERROR(VLOOKUP($B787,テーブル12[],4,FALSE),"")</f>
        <v/>
      </c>
      <c r="H787" s="25" t="str">
        <f t="shared" si="18"/>
        <v/>
      </c>
    </row>
    <row r="788" spans="4:8">
      <c r="D788" s="27" t="str">
        <f>IFERROR(VLOOKUP(A788,テーブル11[],2,FALSE),"")</f>
        <v/>
      </c>
      <c r="E788" s="25" t="str">
        <f>IFERROR(VLOOKUP($B788,テーブル12[],2,FALSE),"")</f>
        <v/>
      </c>
      <c r="F788" s="25" t="str">
        <f>IFERROR(VLOOKUP($B788,テーブル12[],3,FALSE),"")</f>
        <v/>
      </c>
      <c r="G788" s="31" t="str">
        <f>IFERROR(VLOOKUP($B788,テーブル12[],4,FALSE),"")</f>
        <v/>
      </c>
      <c r="H788" s="25" t="str">
        <f t="shared" si="18"/>
        <v/>
      </c>
    </row>
    <row r="789" spans="4:8">
      <c r="D789" s="27" t="str">
        <f>IFERROR(VLOOKUP(A789,テーブル11[],2,FALSE),"")</f>
        <v/>
      </c>
      <c r="E789" s="25" t="str">
        <f>IFERROR(VLOOKUP($B789,テーブル12[],2,FALSE),"")</f>
        <v/>
      </c>
      <c r="F789" s="25" t="str">
        <f>IFERROR(VLOOKUP($B789,テーブル12[],3,FALSE),"")</f>
        <v/>
      </c>
      <c r="G789" s="31" t="str">
        <f>IFERROR(VLOOKUP($B789,テーブル12[],4,FALSE),"")</f>
        <v/>
      </c>
      <c r="H789" s="25" t="str">
        <f t="shared" si="18"/>
        <v/>
      </c>
    </row>
    <row r="790" spans="4:8">
      <c r="D790" s="27" t="str">
        <f>IFERROR(VLOOKUP(A790,テーブル11[],2,FALSE),"")</f>
        <v/>
      </c>
      <c r="E790" s="25" t="str">
        <f>IFERROR(VLOOKUP($B790,テーブル12[],2,FALSE),"")</f>
        <v/>
      </c>
      <c r="F790" s="25" t="str">
        <f>IFERROR(VLOOKUP($B790,テーブル12[],3,FALSE),"")</f>
        <v/>
      </c>
      <c r="G790" s="31" t="str">
        <f>IFERROR(VLOOKUP($B790,テーブル12[],4,FALSE),"")</f>
        <v/>
      </c>
      <c r="H790" s="25" t="str">
        <f t="shared" si="18"/>
        <v/>
      </c>
    </row>
    <row r="791" spans="4:8">
      <c r="D791" s="27" t="str">
        <f>IFERROR(VLOOKUP(A791,テーブル11[],2,FALSE),"")</f>
        <v/>
      </c>
      <c r="E791" s="25" t="str">
        <f>IFERROR(VLOOKUP($B791,テーブル12[],2,FALSE),"")</f>
        <v/>
      </c>
      <c r="F791" s="25" t="str">
        <f>IFERROR(VLOOKUP($B791,テーブル12[],3,FALSE),"")</f>
        <v/>
      </c>
      <c r="G791" s="31" t="str">
        <f>IFERROR(VLOOKUP($B791,テーブル12[],4,FALSE),"")</f>
        <v/>
      </c>
      <c r="H791" s="25" t="str">
        <f t="shared" si="18"/>
        <v/>
      </c>
    </row>
    <row r="792" spans="4:8">
      <c r="D792" s="27" t="str">
        <f>IFERROR(VLOOKUP(A792,テーブル11[],2,FALSE),"")</f>
        <v/>
      </c>
      <c r="E792" s="25" t="str">
        <f>IFERROR(VLOOKUP($B792,テーブル12[],2,FALSE),"")</f>
        <v/>
      </c>
      <c r="F792" s="25" t="str">
        <f>IFERROR(VLOOKUP($B792,テーブル12[],3,FALSE),"")</f>
        <v/>
      </c>
      <c r="G792" s="31" t="str">
        <f>IFERROR(VLOOKUP($B792,テーブル12[],4,FALSE),"")</f>
        <v/>
      </c>
      <c r="H792" s="25" t="str">
        <f t="shared" si="18"/>
        <v/>
      </c>
    </row>
    <row r="793" spans="4:8">
      <c r="D793" s="27" t="str">
        <f>IFERROR(VLOOKUP(A793,テーブル11[],2,FALSE),"")</f>
        <v/>
      </c>
      <c r="E793" s="25" t="str">
        <f>IFERROR(VLOOKUP($B793,テーブル12[],2,FALSE),"")</f>
        <v/>
      </c>
      <c r="F793" s="25" t="str">
        <f>IFERROR(VLOOKUP($B793,テーブル12[],3,FALSE),"")</f>
        <v/>
      </c>
      <c r="G793" s="31" t="str">
        <f>IFERROR(VLOOKUP($B793,テーブル12[],4,FALSE),"")</f>
        <v/>
      </c>
      <c r="H793" s="25" t="str">
        <f t="shared" si="18"/>
        <v/>
      </c>
    </row>
    <row r="794" spans="4:8">
      <c r="D794" s="27" t="str">
        <f>IFERROR(VLOOKUP(A794,テーブル11[],2,FALSE),"")</f>
        <v/>
      </c>
      <c r="E794" s="25" t="str">
        <f>IFERROR(VLOOKUP($B794,テーブル12[],2,FALSE),"")</f>
        <v/>
      </c>
      <c r="F794" s="25" t="str">
        <f>IFERROR(VLOOKUP($B794,テーブル12[],3,FALSE),"")</f>
        <v/>
      </c>
      <c r="G794" s="31" t="str">
        <f>IFERROR(VLOOKUP($B794,テーブル12[],4,FALSE),"")</f>
        <v/>
      </c>
      <c r="H794" s="25" t="str">
        <f t="shared" si="18"/>
        <v/>
      </c>
    </row>
    <row r="795" spans="4:8">
      <c r="D795" s="27" t="str">
        <f>IFERROR(VLOOKUP(A795,テーブル11[],2,FALSE),"")</f>
        <v/>
      </c>
      <c r="E795" s="25" t="str">
        <f>IFERROR(VLOOKUP($B795,テーブル12[],2,FALSE),"")</f>
        <v/>
      </c>
      <c r="F795" s="25" t="str">
        <f>IFERROR(VLOOKUP($B795,テーブル12[],3,FALSE),"")</f>
        <v/>
      </c>
      <c r="G795" s="31" t="str">
        <f>IFERROR(VLOOKUP($B795,テーブル12[],4,FALSE),"")</f>
        <v/>
      </c>
      <c r="H795" s="25" t="str">
        <f t="shared" si="18"/>
        <v/>
      </c>
    </row>
    <row r="796" spans="4:8">
      <c r="D796" s="27" t="str">
        <f>IFERROR(VLOOKUP(A796,テーブル11[],2,FALSE),"")</f>
        <v/>
      </c>
      <c r="E796" s="25" t="str">
        <f>IFERROR(VLOOKUP($B796,テーブル12[],2,FALSE),"")</f>
        <v/>
      </c>
      <c r="F796" s="25" t="str">
        <f>IFERROR(VLOOKUP($B796,テーブル12[],3,FALSE),"")</f>
        <v/>
      </c>
      <c r="G796" s="31" t="str">
        <f>IFERROR(VLOOKUP($B796,テーブル12[],4,FALSE),"")</f>
        <v/>
      </c>
      <c r="H796" s="25" t="str">
        <f t="shared" si="18"/>
        <v/>
      </c>
    </row>
    <row r="797" spans="4:8">
      <c r="D797" s="27" t="str">
        <f>IFERROR(VLOOKUP(A797,テーブル11[],2,FALSE),"")</f>
        <v/>
      </c>
      <c r="E797" s="25" t="str">
        <f>IFERROR(VLOOKUP($B797,テーブル12[],2,FALSE),"")</f>
        <v/>
      </c>
      <c r="F797" s="25" t="str">
        <f>IFERROR(VLOOKUP($B797,テーブル12[],3,FALSE),"")</f>
        <v/>
      </c>
      <c r="G797" s="31" t="str">
        <f>IFERROR(VLOOKUP($B797,テーブル12[],4,FALSE),"")</f>
        <v/>
      </c>
      <c r="H797" s="25" t="str">
        <f t="shared" si="18"/>
        <v/>
      </c>
    </row>
    <row r="798" spans="4:8">
      <c r="D798" s="27" t="str">
        <f>IFERROR(VLOOKUP(A798,テーブル11[],2,FALSE),"")</f>
        <v/>
      </c>
      <c r="E798" s="25" t="str">
        <f>IFERROR(VLOOKUP($B798,テーブル12[],2,FALSE),"")</f>
        <v/>
      </c>
      <c r="F798" s="25" t="str">
        <f>IFERROR(VLOOKUP($B798,テーブル12[],3,FALSE),"")</f>
        <v/>
      </c>
      <c r="G798" s="31" t="str">
        <f>IFERROR(VLOOKUP($B798,テーブル12[],4,FALSE),"")</f>
        <v/>
      </c>
      <c r="H798" s="25" t="str">
        <f t="shared" si="18"/>
        <v/>
      </c>
    </row>
    <row r="799" spans="4:8">
      <c r="D799" s="27" t="str">
        <f>IFERROR(VLOOKUP(A799,テーブル11[],2,FALSE),"")</f>
        <v/>
      </c>
      <c r="E799" s="25" t="str">
        <f>IFERROR(VLOOKUP($B799,テーブル12[],2,FALSE),"")</f>
        <v/>
      </c>
      <c r="F799" s="25" t="str">
        <f>IFERROR(VLOOKUP($B799,テーブル12[],3,FALSE),"")</f>
        <v/>
      </c>
      <c r="G799" s="31" t="str">
        <f>IFERROR(VLOOKUP($B799,テーブル12[],4,FALSE),"")</f>
        <v/>
      </c>
      <c r="H799" s="25" t="str">
        <f t="shared" si="18"/>
        <v/>
      </c>
    </row>
    <row r="800" spans="4:8">
      <c r="D800" s="27" t="str">
        <f>IFERROR(VLOOKUP(A800,テーブル11[],2,FALSE),"")</f>
        <v/>
      </c>
      <c r="E800" s="25" t="str">
        <f>IFERROR(VLOOKUP($B800,テーブル12[],2,FALSE),"")</f>
        <v/>
      </c>
      <c r="F800" s="25" t="str">
        <f>IFERROR(VLOOKUP($B800,テーブル12[],3,FALSE),"")</f>
        <v/>
      </c>
      <c r="G800" s="31" t="str">
        <f>IFERROR(VLOOKUP($B800,テーブル12[],4,FALSE),"")</f>
        <v/>
      </c>
      <c r="H800" s="25" t="str">
        <f t="shared" si="18"/>
        <v/>
      </c>
    </row>
    <row r="801" spans="4:8">
      <c r="D801" s="27" t="str">
        <f>IFERROR(VLOOKUP(A801,テーブル11[],2,FALSE),"")</f>
        <v/>
      </c>
      <c r="E801" s="25" t="str">
        <f>IFERROR(VLOOKUP($B801,テーブル12[],2,FALSE),"")</f>
        <v/>
      </c>
      <c r="F801" s="25" t="str">
        <f>IFERROR(VLOOKUP($B801,テーブル12[],3,FALSE),"")</f>
        <v/>
      </c>
      <c r="G801" s="31" t="str">
        <f>IFERROR(VLOOKUP($B801,テーブル12[],4,FALSE),"")</f>
        <v/>
      </c>
      <c r="H801" s="25" t="str">
        <f t="shared" si="18"/>
        <v/>
      </c>
    </row>
    <row r="802" spans="4:8">
      <c r="D802" s="27" t="str">
        <f>IFERROR(VLOOKUP(A802,テーブル11[],2,FALSE),"")</f>
        <v/>
      </c>
      <c r="E802" s="25" t="str">
        <f>IFERROR(VLOOKUP($B802,テーブル12[],2,FALSE),"")</f>
        <v/>
      </c>
      <c r="F802" s="25" t="str">
        <f>IFERROR(VLOOKUP($B802,テーブル12[],3,FALSE),"")</f>
        <v/>
      </c>
      <c r="G802" s="31" t="str">
        <f>IFERROR(VLOOKUP($B802,テーブル12[],4,FALSE),"")</f>
        <v/>
      </c>
      <c r="H802" s="25" t="str">
        <f t="shared" si="18"/>
        <v/>
      </c>
    </row>
    <row r="803" spans="4:8">
      <c r="D803" s="27" t="str">
        <f>IFERROR(VLOOKUP(A803,テーブル11[],2,FALSE),"")</f>
        <v/>
      </c>
      <c r="E803" s="25" t="str">
        <f>IFERROR(VLOOKUP($B803,テーブル12[],2,FALSE),"")</f>
        <v/>
      </c>
      <c r="F803" s="25" t="str">
        <f>IFERROR(VLOOKUP($B803,テーブル12[],3,FALSE),"")</f>
        <v/>
      </c>
      <c r="G803" s="31" t="str">
        <f>IFERROR(VLOOKUP($B803,テーブル12[],4,FALSE),"")</f>
        <v/>
      </c>
      <c r="H803" s="25" t="str">
        <f t="shared" si="18"/>
        <v/>
      </c>
    </row>
    <row r="804" spans="4:8">
      <c r="D804" s="27" t="str">
        <f>IFERROR(VLOOKUP(A804,テーブル11[],2,FALSE),"")</f>
        <v/>
      </c>
      <c r="E804" s="25" t="str">
        <f>IFERROR(VLOOKUP($B804,テーブル12[],2,FALSE),"")</f>
        <v/>
      </c>
      <c r="F804" s="25" t="str">
        <f>IFERROR(VLOOKUP($B804,テーブル12[],3,FALSE),"")</f>
        <v/>
      </c>
      <c r="G804" s="31" t="str">
        <f>IFERROR(VLOOKUP($B804,テーブル12[],4,FALSE),"")</f>
        <v/>
      </c>
      <c r="H804" s="25" t="str">
        <f t="shared" si="18"/>
        <v/>
      </c>
    </row>
    <row r="805" spans="4:8">
      <c r="D805" s="27" t="str">
        <f>IFERROR(VLOOKUP(A805,テーブル11[],2,FALSE),"")</f>
        <v/>
      </c>
      <c r="E805" s="25" t="str">
        <f>IFERROR(VLOOKUP($B805,テーブル12[],2,FALSE),"")</f>
        <v/>
      </c>
      <c r="F805" s="25" t="str">
        <f>IFERROR(VLOOKUP($B805,テーブル12[],3,FALSE),"")</f>
        <v/>
      </c>
      <c r="G805" s="31" t="str">
        <f>IFERROR(VLOOKUP($B805,テーブル12[],4,FALSE),"")</f>
        <v/>
      </c>
      <c r="H805" s="25" t="str">
        <f t="shared" si="18"/>
        <v/>
      </c>
    </row>
    <row r="806" spans="4:8">
      <c r="D806" s="27" t="str">
        <f>IFERROR(VLOOKUP(A806,テーブル11[],2,FALSE),"")</f>
        <v/>
      </c>
      <c r="E806" s="25" t="str">
        <f>IFERROR(VLOOKUP($B806,テーブル12[],2,FALSE),"")</f>
        <v/>
      </c>
      <c r="F806" s="25" t="str">
        <f>IFERROR(VLOOKUP($B806,テーブル12[],3,FALSE),"")</f>
        <v/>
      </c>
      <c r="G806" s="31" t="str">
        <f>IFERROR(VLOOKUP($B806,テーブル12[],4,FALSE),"")</f>
        <v/>
      </c>
      <c r="H806" s="25" t="str">
        <f t="shared" si="18"/>
        <v/>
      </c>
    </row>
    <row r="807" spans="4:8">
      <c r="D807" s="27" t="str">
        <f>IFERROR(VLOOKUP(A807,テーブル11[],2,FALSE),"")</f>
        <v/>
      </c>
      <c r="E807" s="25" t="str">
        <f>IFERROR(VLOOKUP($B807,テーブル12[],2,FALSE),"")</f>
        <v/>
      </c>
      <c r="F807" s="25" t="str">
        <f>IFERROR(VLOOKUP($B807,テーブル12[],3,FALSE),"")</f>
        <v/>
      </c>
      <c r="G807" s="31" t="str">
        <f>IFERROR(VLOOKUP($B807,テーブル12[],4,FALSE),"")</f>
        <v/>
      </c>
      <c r="H807" s="25" t="str">
        <f t="shared" si="18"/>
        <v/>
      </c>
    </row>
    <row r="808" spans="4:8">
      <c r="D808" s="27" t="str">
        <f>IFERROR(VLOOKUP(A808,テーブル11[],2,FALSE),"")</f>
        <v/>
      </c>
      <c r="E808" s="25" t="str">
        <f>IFERROR(VLOOKUP($B808,テーブル12[],2,FALSE),"")</f>
        <v/>
      </c>
      <c r="F808" s="25" t="str">
        <f>IFERROR(VLOOKUP($B808,テーブル12[],3,FALSE),"")</f>
        <v/>
      </c>
      <c r="G808" s="31" t="str">
        <f>IFERROR(VLOOKUP($B808,テーブル12[],4,FALSE),"")</f>
        <v/>
      </c>
      <c r="H808" s="25" t="str">
        <f t="shared" si="18"/>
        <v/>
      </c>
    </row>
    <row r="809" spans="4:8">
      <c r="D809" s="27" t="str">
        <f>IFERROR(VLOOKUP(A809,テーブル11[],2,FALSE),"")</f>
        <v/>
      </c>
      <c r="E809" s="25" t="str">
        <f>IFERROR(VLOOKUP($B809,テーブル12[],2,FALSE),"")</f>
        <v/>
      </c>
      <c r="F809" s="25" t="str">
        <f>IFERROR(VLOOKUP($B809,テーブル12[],3,FALSE),"")</f>
        <v/>
      </c>
      <c r="G809" s="31" t="str">
        <f>IFERROR(VLOOKUP($B809,テーブル12[],4,FALSE),"")</f>
        <v/>
      </c>
      <c r="H809" s="25" t="str">
        <f t="shared" si="18"/>
        <v/>
      </c>
    </row>
    <row r="810" spans="4:8">
      <c r="D810" s="27" t="str">
        <f>IFERROR(VLOOKUP(A810,テーブル11[],2,FALSE),"")</f>
        <v/>
      </c>
      <c r="E810" s="25" t="str">
        <f>IFERROR(VLOOKUP($B810,テーブル12[],2,FALSE),"")</f>
        <v/>
      </c>
      <c r="F810" s="25" t="str">
        <f>IFERROR(VLOOKUP($B810,テーブル12[],3,FALSE),"")</f>
        <v/>
      </c>
      <c r="G810" s="31" t="str">
        <f>IFERROR(VLOOKUP($B810,テーブル12[],4,FALSE),"")</f>
        <v/>
      </c>
      <c r="H810" s="25" t="str">
        <f t="shared" si="18"/>
        <v/>
      </c>
    </row>
    <row r="811" spans="4:8">
      <c r="D811" s="27" t="str">
        <f>IFERROR(VLOOKUP(A811,テーブル11[],2,FALSE),"")</f>
        <v/>
      </c>
      <c r="E811" s="25" t="str">
        <f>IFERROR(VLOOKUP($B811,テーブル12[],2,FALSE),"")</f>
        <v/>
      </c>
      <c r="F811" s="25" t="str">
        <f>IFERROR(VLOOKUP($B811,テーブル12[],3,FALSE),"")</f>
        <v/>
      </c>
      <c r="G811" s="31" t="str">
        <f>IFERROR(VLOOKUP($B811,テーブル12[],4,FALSE),"")</f>
        <v/>
      </c>
      <c r="H811" s="25" t="str">
        <f t="shared" si="18"/>
        <v/>
      </c>
    </row>
    <row r="812" spans="4:8">
      <c r="D812" s="27" t="str">
        <f>IFERROR(VLOOKUP(A812,テーブル11[],2,FALSE),"")</f>
        <v/>
      </c>
      <c r="E812" s="25" t="str">
        <f>IFERROR(VLOOKUP($B812,テーブル12[],2,FALSE),"")</f>
        <v/>
      </c>
      <c r="F812" s="25" t="str">
        <f>IFERROR(VLOOKUP($B812,テーブル12[],3,FALSE),"")</f>
        <v/>
      </c>
      <c r="G812" s="31" t="str">
        <f>IFERROR(VLOOKUP($B812,テーブル12[],4,FALSE),"")</f>
        <v/>
      </c>
      <c r="H812" s="25" t="str">
        <f t="shared" si="18"/>
        <v/>
      </c>
    </row>
    <row r="813" spans="4:8">
      <c r="D813" s="27" t="str">
        <f>IFERROR(VLOOKUP(A813,テーブル11[],2,FALSE),"")</f>
        <v/>
      </c>
      <c r="E813" s="25" t="str">
        <f>IFERROR(VLOOKUP($B813,テーブル12[],2,FALSE),"")</f>
        <v/>
      </c>
      <c r="F813" s="25" t="str">
        <f>IFERROR(VLOOKUP($B813,テーブル12[],3,FALSE),"")</f>
        <v/>
      </c>
      <c r="G813" s="31" t="str">
        <f>IFERROR(VLOOKUP($B813,テーブル12[],4,FALSE),"")</f>
        <v/>
      </c>
      <c r="H813" s="25" t="str">
        <f t="shared" si="18"/>
        <v/>
      </c>
    </row>
    <row r="814" spans="4:8">
      <c r="D814" s="27" t="str">
        <f>IFERROR(VLOOKUP(A814,テーブル11[],2,FALSE),"")</f>
        <v/>
      </c>
      <c r="E814" s="25" t="str">
        <f>IFERROR(VLOOKUP($B814,テーブル12[],2,FALSE),"")</f>
        <v/>
      </c>
      <c r="F814" s="25" t="str">
        <f>IFERROR(VLOOKUP($B814,テーブル12[],3,FALSE),"")</f>
        <v/>
      </c>
      <c r="G814" s="31" t="str">
        <f>IFERROR(VLOOKUP($B814,テーブル12[],4,FALSE),"")</f>
        <v/>
      </c>
      <c r="H814" s="25" t="str">
        <f t="shared" si="18"/>
        <v/>
      </c>
    </row>
    <row r="815" spans="4:8">
      <c r="D815" s="27" t="str">
        <f>IFERROR(VLOOKUP(A815,テーブル11[],2,FALSE),"")</f>
        <v/>
      </c>
      <c r="E815" s="25" t="str">
        <f>IFERROR(VLOOKUP($B815,テーブル12[],2,FALSE),"")</f>
        <v/>
      </c>
      <c r="F815" s="25" t="str">
        <f>IFERROR(VLOOKUP($B815,テーブル12[],3,FALSE),"")</f>
        <v/>
      </c>
      <c r="G815" s="31" t="str">
        <f>IFERROR(VLOOKUP($B815,テーブル12[],4,FALSE),"")</f>
        <v/>
      </c>
      <c r="H815" s="25" t="str">
        <f t="shared" si="18"/>
        <v/>
      </c>
    </row>
    <row r="816" spans="4:8">
      <c r="D816" s="27" t="str">
        <f>IFERROR(VLOOKUP(A816,テーブル11[],2,FALSE),"")</f>
        <v/>
      </c>
      <c r="E816" s="25" t="str">
        <f>IFERROR(VLOOKUP($B816,テーブル12[],2,FALSE),"")</f>
        <v/>
      </c>
      <c r="F816" s="25" t="str">
        <f>IFERROR(VLOOKUP($B816,テーブル12[],3,FALSE),"")</f>
        <v/>
      </c>
      <c r="G816" s="31" t="str">
        <f>IFERROR(VLOOKUP($B816,テーブル12[],4,FALSE),"")</f>
        <v/>
      </c>
      <c r="H816" s="25" t="str">
        <f t="shared" si="18"/>
        <v/>
      </c>
    </row>
    <row r="817" spans="4:8">
      <c r="D817" s="27" t="str">
        <f>IFERROR(VLOOKUP(A817,テーブル11[],2,FALSE),"")</f>
        <v/>
      </c>
      <c r="E817" s="25" t="str">
        <f>IFERROR(VLOOKUP($B817,テーブル12[],2,FALSE),"")</f>
        <v/>
      </c>
      <c r="F817" s="25" t="str">
        <f>IFERROR(VLOOKUP($B817,テーブル12[],3,FALSE),"")</f>
        <v/>
      </c>
      <c r="G817" s="31" t="str">
        <f>IFERROR(VLOOKUP($B817,テーブル12[],4,FALSE),"")</f>
        <v/>
      </c>
      <c r="H817" s="25" t="str">
        <f t="shared" si="18"/>
        <v/>
      </c>
    </row>
    <row r="818" spans="4:8">
      <c r="D818" s="27" t="str">
        <f>IFERROR(VLOOKUP(A818,テーブル11[],2,FALSE),"")</f>
        <v/>
      </c>
      <c r="E818" s="25" t="str">
        <f>IFERROR(VLOOKUP($B818,テーブル12[],2,FALSE),"")</f>
        <v/>
      </c>
      <c r="F818" s="25" t="str">
        <f>IFERROR(VLOOKUP($B818,テーブル12[],3,FALSE),"")</f>
        <v/>
      </c>
      <c r="G818" s="31" t="str">
        <f>IFERROR(VLOOKUP($B818,テーブル12[],4,FALSE),"")</f>
        <v/>
      </c>
      <c r="H818" s="25" t="str">
        <f t="shared" si="18"/>
        <v/>
      </c>
    </row>
    <row r="819" spans="4:8">
      <c r="D819" s="27" t="str">
        <f>IFERROR(VLOOKUP(A819,テーブル11[],2,FALSE),"")</f>
        <v/>
      </c>
      <c r="E819" s="25" t="str">
        <f>IFERROR(VLOOKUP($B819,テーブル12[],2,FALSE),"")</f>
        <v/>
      </c>
      <c r="F819" s="25" t="str">
        <f>IFERROR(VLOOKUP($B819,テーブル12[],3,FALSE),"")</f>
        <v/>
      </c>
      <c r="G819" s="31" t="str">
        <f>IFERROR(VLOOKUP($B819,テーブル12[],4,FALSE),"")</f>
        <v/>
      </c>
      <c r="H819" s="25" t="str">
        <f t="shared" si="18"/>
        <v/>
      </c>
    </row>
    <row r="820" spans="4:8">
      <c r="D820" s="27" t="str">
        <f>IFERROR(VLOOKUP(A820,テーブル11[],2,FALSE),"")</f>
        <v/>
      </c>
      <c r="E820" s="25" t="str">
        <f>IFERROR(VLOOKUP($B820,テーブル12[],2,FALSE),"")</f>
        <v/>
      </c>
      <c r="F820" s="25" t="str">
        <f>IFERROR(VLOOKUP($B820,テーブル12[],3,FALSE),"")</f>
        <v/>
      </c>
      <c r="G820" s="31" t="str">
        <f>IFERROR(VLOOKUP($B820,テーブル12[],4,FALSE),"")</f>
        <v/>
      </c>
      <c r="H820" s="25" t="str">
        <f t="shared" si="18"/>
        <v/>
      </c>
    </row>
    <row r="821" spans="4:8">
      <c r="D821" s="27" t="str">
        <f>IFERROR(VLOOKUP(A821,テーブル11[],2,FALSE),"")</f>
        <v/>
      </c>
      <c r="E821" s="25" t="str">
        <f>IFERROR(VLOOKUP($B821,テーブル12[],2,FALSE),"")</f>
        <v/>
      </c>
      <c r="F821" s="25" t="str">
        <f>IFERROR(VLOOKUP($B821,テーブル12[],3,FALSE),"")</f>
        <v/>
      </c>
      <c r="G821" s="31" t="str">
        <f>IFERROR(VLOOKUP($B821,テーブル12[],4,FALSE),"")</f>
        <v/>
      </c>
      <c r="H821" s="25" t="str">
        <f t="shared" si="18"/>
        <v/>
      </c>
    </row>
    <row r="822" spans="4:8">
      <c r="D822" s="27" t="str">
        <f>IFERROR(VLOOKUP(A822,テーブル11[],2,FALSE),"")</f>
        <v/>
      </c>
      <c r="E822" s="25" t="str">
        <f>IFERROR(VLOOKUP($B822,テーブル12[],2,FALSE),"")</f>
        <v/>
      </c>
      <c r="F822" s="25" t="str">
        <f>IFERROR(VLOOKUP($B822,テーブル12[],3,FALSE),"")</f>
        <v/>
      </c>
      <c r="G822" s="31" t="str">
        <f>IFERROR(VLOOKUP($B822,テーブル12[],4,FALSE),"")</f>
        <v/>
      </c>
      <c r="H822" s="25" t="str">
        <f t="shared" si="18"/>
        <v/>
      </c>
    </row>
    <row r="823" spans="4:8">
      <c r="D823" s="27" t="str">
        <f>IFERROR(VLOOKUP(A823,テーブル11[],2,FALSE),"")</f>
        <v/>
      </c>
      <c r="E823" s="25" t="str">
        <f>IFERROR(VLOOKUP($B823,テーブル12[],2,FALSE),"")</f>
        <v/>
      </c>
      <c r="F823" s="25" t="str">
        <f>IFERROR(VLOOKUP($B823,テーブル12[],3,FALSE),"")</f>
        <v/>
      </c>
      <c r="G823" s="31" t="str">
        <f>IFERROR(VLOOKUP($B823,テーブル12[],4,FALSE),"")</f>
        <v/>
      </c>
      <c r="H823" s="25" t="str">
        <f t="shared" si="18"/>
        <v/>
      </c>
    </row>
    <row r="824" spans="4:8">
      <c r="D824" s="27" t="str">
        <f>IFERROR(VLOOKUP(A824,テーブル11[],2,FALSE),"")</f>
        <v/>
      </c>
      <c r="E824" s="25" t="str">
        <f>IFERROR(VLOOKUP($B824,テーブル12[],2,FALSE),"")</f>
        <v/>
      </c>
      <c r="F824" s="25" t="str">
        <f>IFERROR(VLOOKUP($B824,テーブル12[],3,FALSE),"")</f>
        <v/>
      </c>
      <c r="G824" s="31" t="str">
        <f>IFERROR(VLOOKUP($B824,テーブル12[],4,FALSE),"")</f>
        <v/>
      </c>
      <c r="H824" s="25" t="str">
        <f t="shared" si="18"/>
        <v/>
      </c>
    </row>
    <row r="825" spans="4:8">
      <c r="D825" s="27" t="str">
        <f>IFERROR(VLOOKUP(A825,テーブル11[],2,FALSE),"")</f>
        <v/>
      </c>
      <c r="E825" s="25" t="str">
        <f>IFERROR(VLOOKUP($B825,テーブル12[],2,FALSE),"")</f>
        <v/>
      </c>
      <c r="F825" s="25" t="str">
        <f>IFERROR(VLOOKUP($B825,テーブル12[],3,FALSE),"")</f>
        <v/>
      </c>
      <c r="G825" s="31" t="str">
        <f>IFERROR(VLOOKUP($B825,テーブル12[],4,FALSE),"")</f>
        <v/>
      </c>
      <c r="H825" s="25" t="str">
        <f t="shared" si="18"/>
        <v/>
      </c>
    </row>
    <row r="826" spans="4:8">
      <c r="D826" s="27" t="str">
        <f>IFERROR(VLOOKUP(A826,テーブル11[],2,FALSE),"")</f>
        <v/>
      </c>
      <c r="E826" s="25" t="str">
        <f>IFERROR(VLOOKUP($B826,テーブル12[],2,FALSE),"")</f>
        <v/>
      </c>
      <c r="F826" s="25" t="str">
        <f>IFERROR(VLOOKUP($B826,テーブル12[],3,FALSE),"")</f>
        <v/>
      </c>
      <c r="G826" s="31" t="str">
        <f>IFERROR(VLOOKUP($B826,テーブル12[],4,FALSE),"")</f>
        <v/>
      </c>
      <c r="H826" s="25" t="str">
        <f t="shared" si="18"/>
        <v/>
      </c>
    </row>
    <row r="827" spans="4:8">
      <c r="D827" s="27" t="str">
        <f>IFERROR(VLOOKUP(A827,テーブル11[],2,FALSE),"")</f>
        <v/>
      </c>
      <c r="E827" s="25" t="str">
        <f>IFERROR(VLOOKUP($B827,テーブル12[],2,FALSE),"")</f>
        <v/>
      </c>
      <c r="F827" s="25" t="str">
        <f>IFERROR(VLOOKUP($B827,テーブル12[],3,FALSE),"")</f>
        <v/>
      </c>
      <c r="G827" s="31" t="str">
        <f>IFERROR(VLOOKUP($B827,テーブル12[],4,FALSE),"")</f>
        <v/>
      </c>
      <c r="H827" s="25" t="str">
        <f t="shared" si="18"/>
        <v/>
      </c>
    </row>
    <row r="828" spans="4:8">
      <c r="D828" s="27" t="str">
        <f>IFERROR(VLOOKUP(A828,テーブル11[],2,FALSE),"")</f>
        <v/>
      </c>
      <c r="E828" s="25" t="str">
        <f>IFERROR(VLOOKUP($B828,テーブル12[],2,FALSE),"")</f>
        <v/>
      </c>
      <c r="F828" s="25" t="str">
        <f>IFERROR(VLOOKUP($B828,テーブル12[],3,FALSE),"")</f>
        <v/>
      </c>
      <c r="G828" s="31" t="str">
        <f>IFERROR(VLOOKUP($B828,テーブル12[],4,FALSE),"")</f>
        <v/>
      </c>
      <c r="H828" s="25" t="str">
        <f t="shared" si="18"/>
        <v/>
      </c>
    </row>
    <row r="829" spans="4:8">
      <c r="D829" s="27" t="str">
        <f>IFERROR(VLOOKUP(A829,テーブル11[],2,FALSE),"")</f>
        <v/>
      </c>
      <c r="E829" s="25" t="str">
        <f>IFERROR(VLOOKUP($B829,テーブル12[],2,FALSE),"")</f>
        <v/>
      </c>
      <c r="F829" s="25" t="str">
        <f>IFERROR(VLOOKUP($B829,テーブル12[],3,FALSE),"")</f>
        <v/>
      </c>
      <c r="G829" s="31" t="str">
        <f>IFERROR(VLOOKUP($B829,テーブル12[],4,FALSE),"")</f>
        <v/>
      </c>
      <c r="H829" s="25" t="str">
        <f t="shared" si="18"/>
        <v/>
      </c>
    </row>
    <row r="830" spans="4:8">
      <c r="D830" s="27" t="str">
        <f>IFERROR(VLOOKUP(A830,テーブル11[],2,FALSE),"")</f>
        <v/>
      </c>
      <c r="E830" s="25" t="str">
        <f>IFERROR(VLOOKUP($B830,テーブル12[],2,FALSE),"")</f>
        <v/>
      </c>
      <c r="F830" s="25" t="str">
        <f>IFERROR(VLOOKUP($B830,テーブル12[],3,FALSE),"")</f>
        <v/>
      </c>
      <c r="G830" s="31" t="str">
        <f>IFERROR(VLOOKUP($B830,テーブル12[],4,FALSE),"")</f>
        <v/>
      </c>
      <c r="H830" s="25" t="str">
        <f t="shared" si="18"/>
        <v/>
      </c>
    </row>
    <row r="831" spans="4:8">
      <c r="D831" s="27" t="str">
        <f>IFERROR(VLOOKUP(A831,テーブル11[],2,FALSE),"")</f>
        <v/>
      </c>
      <c r="E831" s="25" t="str">
        <f>IFERROR(VLOOKUP($B831,テーブル12[],2,FALSE),"")</f>
        <v/>
      </c>
      <c r="F831" s="25" t="str">
        <f>IFERROR(VLOOKUP($B831,テーブル12[],3,FALSE),"")</f>
        <v/>
      </c>
      <c r="G831" s="31" t="str">
        <f>IFERROR(VLOOKUP($B831,テーブル12[],4,FALSE),"")</f>
        <v/>
      </c>
      <c r="H831" s="25" t="str">
        <f t="shared" si="18"/>
        <v/>
      </c>
    </row>
    <row r="832" spans="4:8">
      <c r="D832" s="27" t="str">
        <f>IFERROR(VLOOKUP(A832,テーブル11[],2,FALSE),"")</f>
        <v/>
      </c>
      <c r="E832" s="25" t="str">
        <f>IFERROR(VLOOKUP($B832,テーブル12[],2,FALSE),"")</f>
        <v/>
      </c>
      <c r="F832" s="25" t="str">
        <f>IFERROR(VLOOKUP($B832,テーブル12[],3,FALSE),"")</f>
        <v/>
      </c>
      <c r="G832" s="31" t="str">
        <f>IFERROR(VLOOKUP($B832,テーブル12[],4,FALSE),"")</f>
        <v/>
      </c>
      <c r="H832" s="25" t="str">
        <f t="shared" si="18"/>
        <v/>
      </c>
    </row>
    <row r="833" spans="4:8">
      <c r="D833" s="27" t="str">
        <f>IFERROR(VLOOKUP(A833,テーブル11[],2,FALSE),"")</f>
        <v/>
      </c>
      <c r="E833" s="25" t="str">
        <f>IFERROR(VLOOKUP($B833,テーブル12[],2,FALSE),"")</f>
        <v/>
      </c>
      <c r="F833" s="25" t="str">
        <f>IFERROR(VLOOKUP($B833,テーブル12[],3,FALSE),"")</f>
        <v/>
      </c>
      <c r="G833" s="31" t="str">
        <f>IFERROR(VLOOKUP($B833,テーブル12[],4,FALSE),"")</f>
        <v/>
      </c>
      <c r="H833" s="25" t="str">
        <f t="shared" si="18"/>
        <v/>
      </c>
    </row>
    <row r="834" spans="4:8">
      <c r="D834" s="27" t="str">
        <f>IFERROR(VLOOKUP(A834,テーブル11[],2,FALSE),"")</f>
        <v/>
      </c>
      <c r="E834" s="25" t="str">
        <f>IFERROR(VLOOKUP($B834,テーブル12[],2,FALSE),"")</f>
        <v/>
      </c>
      <c r="F834" s="25" t="str">
        <f>IFERROR(VLOOKUP($B834,テーブル12[],3,FALSE),"")</f>
        <v/>
      </c>
      <c r="G834" s="31" t="str">
        <f>IFERROR(VLOOKUP($B834,テーブル12[],4,FALSE),"")</f>
        <v/>
      </c>
      <c r="H834" s="25" t="str">
        <f t="shared" ref="H834:H897" si="19">IF(C834=0,"",C834)</f>
        <v/>
      </c>
    </row>
    <row r="835" spans="4:8">
      <c r="D835" s="27" t="str">
        <f>IFERROR(VLOOKUP(A835,テーブル11[],2,FALSE),"")</f>
        <v/>
      </c>
      <c r="E835" s="25" t="str">
        <f>IFERROR(VLOOKUP($B835,テーブル12[],2,FALSE),"")</f>
        <v/>
      </c>
      <c r="F835" s="25" t="str">
        <f>IFERROR(VLOOKUP($B835,テーブル12[],3,FALSE),"")</f>
        <v/>
      </c>
      <c r="G835" s="31" t="str">
        <f>IFERROR(VLOOKUP($B835,テーブル12[],4,FALSE),"")</f>
        <v/>
      </c>
      <c r="H835" s="25" t="str">
        <f t="shared" si="19"/>
        <v/>
      </c>
    </row>
    <row r="836" spans="4:8">
      <c r="D836" s="27" t="str">
        <f>IFERROR(VLOOKUP(A836,テーブル11[],2,FALSE),"")</f>
        <v/>
      </c>
      <c r="E836" s="25" t="str">
        <f>IFERROR(VLOOKUP($B836,テーブル12[],2,FALSE),"")</f>
        <v/>
      </c>
      <c r="F836" s="25" t="str">
        <f>IFERROR(VLOOKUP($B836,テーブル12[],3,FALSE),"")</f>
        <v/>
      </c>
      <c r="G836" s="31" t="str">
        <f>IFERROR(VLOOKUP($B836,テーブル12[],4,FALSE),"")</f>
        <v/>
      </c>
      <c r="H836" s="25" t="str">
        <f t="shared" si="19"/>
        <v/>
      </c>
    </row>
    <row r="837" spans="4:8">
      <c r="D837" s="27" t="str">
        <f>IFERROR(VLOOKUP(A837,テーブル11[],2,FALSE),"")</f>
        <v/>
      </c>
      <c r="E837" s="25" t="str">
        <f>IFERROR(VLOOKUP($B837,テーブル12[],2,FALSE),"")</f>
        <v/>
      </c>
      <c r="F837" s="25" t="str">
        <f>IFERROR(VLOOKUP($B837,テーブル12[],3,FALSE),"")</f>
        <v/>
      </c>
      <c r="G837" s="31" t="str">
        <f>IFERROR(VLOOKUP($B837,テーブル12[],4,FALSE),"")</f>
        <v/>
      </c>
      <c r="H837" s="25" t="str">
        <f t="shared" si="19"/>
        <v/>
      </c>
    </row>
    <row r="838" spans="4:8">
      <c r="D838" s="27" t="str">
        <f>IFERROR(VLOOKUP(A838,テーブル11[],2,FALSE),"")</f>
        <v/>
      </c>
      <c r="E838" s="25" t="str">
        <f>IFERROR(VLOOKUP($B838,テーブル12[],2,FALSE),"")</f>
        <v/>
      </c>
      <c r="F838" s="25" t="str">
        <f>IFERROR(VLOOKUP($B838,テーブル12[],3,FALSE),"")</f>
        <v/>
      </c>
      <c r="G838" s="31" t="str">
        <f>IFERROR(VLOOKUP($B838,テーブル12[],4,FALSE),"")</f>
        <v/>
      </c>
      <c r="H838" s="25" t="str">
        <f t="shared" si="19"/>
        <v/>
      </c>
    </row>
    <row r="839" spans="4:8">
      <c r="D839" s="27" t="str">
        <f>IFERROR(VLOOKUP(A839,テーブル11[],2,FALSE),"")</f>
        <v/>
      </c>
      <c r="E839" s="25" t="str">
        <f>IFERROR(VLOOKUP($B839,テーブル12[],2,FALSE),"")</f>
        <v/>
      </c>
      <c r="F839" s="25" t="str">
        <f>IFERROR(VLOOKUP($B839,テーブル12[],3,FALSE),"")</f>
        <v/>
      </c>
      <c r="G839" s="31" t="str">
        <f>IFERROR(VLOOKUP($B839,テーブル12[],4,FALSE),"")</f>
        <v/>
      </c>
      <c r="H839" s="25" t="str">
        <f t="shared" si="19"/>
        <v/>
      </c>
    </row>
    <row r="840" spans="4:8">
      <c r="D840" s="27" t="str">
        <f>IFERROR(VLOOKUP(A840,テーブル11[],2,FALSE),"")</f>
        <v/>
      </c>
      <c r="E840" s="25" t="str">
        <f>IFERROR(VLOOKUP($B840,テーブル12[],2,FALSE),"")</f>
        <v/>
      </c>
      <c r="F840" s="25" t="str">
        <f>IFERROR(VLOOKUP($B840,テーブル12[],3,FALSE),"")</f>
        <v/>
      </c>
      <c r="G840" s="31" t="str">
        <f>IFERROR(VLOOKUP($B840,テーブル12[],4,FALSE),"")</f>
        <v/>
      </c>
      <c r="H840" s="25" t="str">
        <f t="shared" si="19"/>
        <v/>
      </c>
    </row>
    <row r="841" spans="4:8">
      <c r="D841" s="27" t="str">
        <f>IFERROR(VLOOKUP(A841,テーブル11[],2,FALSE),"")</f>
        <v/>
      </c>
      <c r="E841" s="25" t="str">
        <f>IFERROR(VLOOKUP($B841,テーブル12[],2,FALSE),"")</f>
        <v/>
      </c>
      <c r="F841" s="25" t="str">
        <f>IFERROR(VLOOKUP($B841,テーブル12[],3,FALSE),"")</f>
        <v/>
      </c>
      <c r="G841" s="31" t="str">
        <f>IFERROR(VLOOKUP($B841,テーブル12[],4,FALSE),"")</f>
        <v/>
      </c>
      <c r="H841" s="25" t="str">
        <f t="shared" si="19"/>
        <v/>
      </c>
    </row>
    <row r="842" spans="4:8">
      <c r="D842" s="27" t="str">
        <f>IFERROR(VLOOKUP(A842,テーブル11[],2,FALSE),"")</f>
        <v/>
      </c>
      <c r="E842" s="25" t="str">
        <f>IFERROR(VLOOKUP($B842,テーブル12[],2,FALSE),"")</f>
        <v/>
      </c>
      <c r="F842" s="25" t="str">
        <f>IFERROR(VLOOKUP($B842,テーブル12[],3,FALSE),"")</f>
        <v/>
      </c>
      <c r="G842" s="31" t="str">
        <f>IFERROR(VLOOKUP($B842,テーブル12[],4,FALSE),"")</f>
        <v/>
      </c>
      <c r="H842" s="25" t="str">
        <f t="shared" si="19"/>
        <v/>
      </c>
    </row>
    <row r="843" spans="4:8">
      <c r="D843" s="27" t="str">
        <f>IFERROR(VLOOKUP(A843,テーブル11[],2,FALSE),"")</f>
        <v/>
      </c>
      <c r="E843" s="25" t="str">
        <f>IFERROR(VLOOKUP($B843,テーブル12[],2,FALSE),"")</f>
        <v/>
      </c>
      <c r="F843" s="25" t="str">
        <f>IFERROR(VLOOKUP($B843,テーブル12[],3,FALSE),"")</f>
        <v/>
      </c>
      <c r="G843" s="31" t="str">
        <f>IFERROR(VLOOKUP($B843,テーブル12[],4,FALSE),"")</f>
        <v/>
      </c>
      <c r="H843" s="25" t="str">
        <f t="shared" si="19"/>
        <v/>
      </c>
    </row>
    <row r="844" spans="4:8">
      <c r="D844" s="27" t="str">
        <f>IFERROR(VLOOKUP(A844,テーブル11[],2,FALSE),"")</f>
        <v/>
      </c>
      <c r="E844" s="25" t="str">
        <f>IFERROR(VLOOKUP($B844,テーブル12[],2,FALSE),"")</f>
        <v/>
      </c>
      <c r="F844" s="25" t="str">
        <f>IFERROR(VLOOKUP($B844,テーブル12[],3,FALSE),"")</f>
        <v/>
      </c>
      <c r="G844" s="31" t="str">
        <f>IFERROR(VLOOKUP($B844,テーブル12[],4,FALSE),"")</f>
        <v/>
      </c>
      <c r="H844" s="25" t="str">
        <f t="shared" si="19"/>
        <v/>
      </c>
    </row>
    <row r="845" spans="4:8">
      <c r="D845" s="27" t="str">
        <f>IFERROR(VLOOKUP(A845,テーブル11[],2,FALSE),"")</f>
        <v/>
      </c>
      <c r="E845" s="25" t="str">
        <f>IFERROR(VLOOKUP($B845,テーブル12[],2,FALSE),"")</f>
        <v/>
      </c>
      <c r="F845" s="25" t="str">
        <f>IFERROR(VLOOKUP($B845,テーブル12[],3,FALSE),"")</f>
        <v/>
      </c>
      <c r="G845" s="31" t="str">
        <f>IFERROR(VLOOKUP($B845,テーブル12[],4,FALSE),"")</f>
        <v/>
      </c>
      <c r="H845" s="25" t="str">
        <f t="shared" si="19"/>
        <v/>
      </c>
    </row>
    <row r="846" spans="4:8">
      <c r="D846" s="27" t="str">
        <f>IFERROR(VLOOKUP(A846,テーブル11[],2,FALSE),"")</f>
        <v/>
      </c>
      <c r="E846" s="25" t="str">
        <f>IFERROR(VLOOKUP($B846,テーブル12[],2,FALSE),"")</f>
        <v/>
      </c>
      <c r="F846" s="25" t="str">
        <f>IFERROR(VLOOKUP($B846,テーブル12[],3,FALSE),"")</f>
        <v/>
      </c>
      <c r="G846" s="31" t="str">
        <f>IFERROR(VLOOKUP($B846,テーブル12[],4,FALSE),"")</f>
        <v/>
      </c>
      <c r="H846" s="25" t="str">
        <f t="shared" si="19"/>
        <v/>
      </c>
    </row>
    <row r="847" spans="4:8">
      <c r="D847" s="27" t="str">
        <f>IFERROR(VLOOKUP(A847,テーブル11[],2,FALSE),"")</f>
        <v/>
      </c>
      <c r="E847" s="25" t="str">
        <f>IFERROR(VLOOKUP($B847,テーブル12[],2,FALSE),"")</f>
        <v/>
      </c>
      <c r="F847" s="25" t="str">
        <f>IFERROR(VLOOKUP($B847,テーブル12[],3,FALSE),"")</f>
        <v/>
      </c>
      <c r="G847" s="31" t="str">
        <f>IFERROR(VLOOKUP($B847,テーブル12[],4,FALSE),"")</f>
        <v/>
      </c>
      <c r="H847" s="25" t="str">
        <f t="shared" si="19"/>
        <v/>
      </c>
    </row>
    <row r="848" spans="4:8">
      <c r="D848" s="27" t="str">
        <f>IFERROR(VLOOKUP(A848,テーブル11[],2,FALSE),"")</f>
        <v/>
      </c>
      <c r="E848" s="25" t="str">
        <f>IFERROR(VLOOKUP($B848,テーブル12[],2,FALSE),"")</f>
        <v/>
      </c>
      <c r="F848" s="25" t="str">
        <f>IFERROR(VLOOKUP($B848,テーブル12[],3,FALSE),"")</f>
        <v/>
      </c>
      <c r="G848" s="31" t="str">
        <f>IFERROR(VLOOKUP($B848,テーブル12[],4,FALSE),"")</f>
        <v/>
      </c>
      <c r="H848" s="25" t="str">
        <f t="shared" si="19"/>
        <v/>
      </c>
    </row>
    <row r="849" spans="4:8">
      <c r="D849" s="27" t="str">
        <f>IFERROR(VLOOKUP(A849,テーブル11[],2,FALSE),"")</f>
        <v/>
      </c>
      <c r="E849" s="25" t="str">
        <f>IFERROR(VLOOKUP($B849,テーブル12[],2,FALSE),"")</f>
        <v/>
      </c>
      <c r="F849" s="25" t="str">
        <f>IFERROR(VLOOKUP($B849,テーブル12[],3,FALSE),"")</f>
        <v/>
      </c>
      <c r="G849" s="31" t="str">
        <f>IFERROR(VLOOKUP($B849,テーブル12[],4,FALSE),"")</f>
        <v/>
      </c>
      <c r="H849" s="25" t="str">
        <f t="shared" si="19"/>
        <v/>
      </c>
    </row>
    <row r="850" spans="4:8">
      <c r="D850" s="27" t="str">
        <f>IFERROR(VLOOKUP(A850,テーブル11[],2,FALSE),"")</f>
        <v/>
      </c>
      <c r="E850" s="25" t="str">
        <f>IFERROR(VLOOKUP($B850,テーブル12[],2,FALSE),"")</f>
        <v/>
      </c>
      <c r="F850" s="25" t="str">
        <f>IFERROR(VLOOKUP($B850,テーブル12[],3,FALSE),"")</f>
        <v/>
      </c>
      <c r="G850" s="31" t="str">
        <f>IFERROR(VLOOKUP($B850,テーブル12[],4,FALSE),"")</f>
        <v/>
      </c>
      <c r="H850" s="25" t="str">
        <f t="shared" si="19"/>
        <v/>
      </c>
    </row>
    <row r="851" spans="4:8">
      <c r="D851" s="27" t="str">
        <f>IFERROR(VLOOKUP(A851,テーブル11[],2,FALSE),"")</f>
        <v/>
      </c>
      <c r="E851" s="25" t="str">
        <f>IFERROR(VLOOKUP($B851,テーブル12[],2,FALSE),"")</f>
        <v/>
      </c>
      <c r="F851" s="25" t="str">
        <f>IFERROR(VLOOKUP($B851,テーブル12[],3,FALSE),"")</f>
        <v/>
      </c>
      <c r="G851" s="31" t="str">
        <f>IFERROR(VLOOKUP($B851,テーブル12[],4,FALSE),"")</f>
        <v/>
      </c>
      <c r="H851" s="25" t="str">
        <f t="shared" si="19"/>
        <v/>
      </c>
    </row>
    <row r="852" spans="4:8">
      <c r="D852" s="27" t="str">
        <f>IFERROR(VLOOKUP(A852,テーブル11[],2,FALSE),"")</f>
        <v/>
      </c>
      <c r="E852" s="25" t="str">
        <f>IFERROR(VLOOKUP($B852,テーブル12[],2,FALSE),"")</f>
        <v/>
      </c>
      <c r="F852" s="25" t="str">
        <f>IFERROR(VLOOKUP($B852,テーブル12[],3,FALSE),"")</f>
        <v/>
      </c>
      <c r="G852" s="31" t="str">
        <f>IFERROR(VLOOKUP($B852,テーブル12[],4,FALSE),"")</f>
        <v/>
      </c>
      <c r="H852" s="25" t="str">
        <f t="shared" si="19"/>
        <v/>
      </c>
    </row>
    <row r="853" spans="4:8">
      <c r="D853" s="27" t="str">
        <f>IFERROR(VLOOKUP(A853,テーブル11[],2,FALSE),"")</f>
        <v/>
      </c>
      <c r="E853" s="25" t="str">
        <f>IFERROR(VLOOKUP($B853,テーブル12[],2,FALSE),"")</f>
        <v/>
      </c>
      <c r="F853" s="25" t="str">
        <f>IFERROR(VLOOKUP($B853,テーブル12[],3,FALSE),"")</f>
        <v/>
      </c>
      <c r="G853" s="31" t="str">
        <f>IFERROR(VLOOKUP($B853,テーブル12[],4,FALSE),"")</f>
        <v/>
      </c>
      <c r="H853" s="25" t="str">
        <f t="shared" si="19"/>
        <v/>
      </c>
    </row>
    <row r="854" spans="4:8">
      <c r="D854" s="27" t="str">
        <f>IFERROR(VLOOKUP(A854,テーブル11[],2,FALSE),"")</f>
        <v/>
      </c>
      <c r="E854" s="25" t="str">
        <f>IFERROR(VLOOKUP($B854,テーブル12[],2,FALSE),"")</f>
        <v/>
      </c>
      <c r="F854" s="25" t="str">
        <f>IFERROR(VLOOKUP($B854,テーブル12[],3,FALSE),"")</f>
        <v/>
      </c>
      <c r="G854" s="31" t="str">
        <f>IFERROR(VLOOKUP($B854,テーブル12[],4,FALSE),"")</f>
        <v/>
      </c>
      <c r="H854" s="25" t="str">
        <f t="shared" si="19"/>
        <v/>
      </c>
    </row>
    <row r="855" spans="4:8">
      <c r="D855" s="27" t="str">
        <f>IFERROR(VLOOKUP(A855,テーブル11[],2,FALSE),"")</f>
        <v/>
      </c>
      <c r="E855" s="25" t="str">
        <f>IFERROR(VLOOKUP($B855,テーブル12[],2,FALSE),"")</f>
        <v/>
      </c>
      <c r="F855" s="25" t="str">
        <f>IFERROR(VLOOKUP($B855,テーブル12[],3,FALSE),"")</f>
        <v/>
      </c>
      <c r="G855" s="31" t="str">
        <f>IFERROR(VLOOKUP($B855,テーブル12[],4,FALSE),"")</f>
        <v/>
      </c>
      <c r="H855" s="25" t="str">
        <f t="shared" si="19"/>
        <v/>
      </c>
    </row>
    <row r="856" spans="4:8">
      <c r="D856" s="27" t="str">
        <f>IFERROR(VLOOKUP(A856,テーブル11[],2,FALSE),"")</f>
        <v/>
      </c>
      <c r="E856" s="25" t="str">
        <f>IFERROR(VLOOKUP($B856,テーブル12[],2,FALSE),"")</f>
        <v/>
      </c>
      <c r="F856" s="25" t="str">
        <f>IFERROR(VLOOKUP($B856,テーブル12[],3,FALSE),"")</f>
        <v/>
      </c>
      <c r="G856" s="31" t="str">
        <f>IFERROR(VLOOKUP($B856,テーブル12[],4,FALSE),"")</f>
        <v/>
      </c>
      <c r="H856" s="25" t="str">
        <f t="shared" si="19"/>
        <v/>
      </c>
    </row>
    <row r="857" spans="4:8">
      <c r="D857" s="27" t="str">
        <f>IFERROR(VLOOKUP(A857,テーブル11[],2,FALSE),"")</f>
        <v/>
      </c>
      <c r="E857" s="25" t="str">
        <f>IFERROR(VLOOKUP($B857,テーブル12[],2,FALSE),"")</f>
        <v/>
      </c>
      <c r="F857" s="25" t="str">
        <f>IFERROR(VLOOKUP($B857,テーブル12[],3,FALSE),"")</f>
        <v/>
      </c>
      <c r="G857" s="31" t="str">
        <f>IFERROR(VLOOKUP($B857,テーブル12[],4,FALSE),"")</f>
        <v/>
      </c>
      <c r="H857" s="25" t="str">
        <f t="shared" si="19"/>
        <v/>
      </c>
    </row>
    <row r="858" spans="4:8">
      <c r="D858" s="27" t="str">
        <f>IFERROR(VLOOKUP(A858,テーブル11[],2,FALSE),"")</f>
        <v/>
      </c>
      <c r="E858" s="25" t="str">
        <f>IFERROR(VLOOKUP($B858,テーブル12[],2,FALSE),"")</f>
        <v/>
      </c>
      <c r="F858" s="25" t="str">
        <f>IFERROR(VLOOKUP($B858,テーブル12[],3,FALSE),"")</f>
        <v/>
      </c>
      <c r="G858" s="31" t="str">
        <f>IFERROR(VLOOKUP($B858,テーブル12[],4,FALSE),"")</f>
        <v/>
      </c>
      <c r="H858" s="25" t="str">
        <f t="shared" si="19"/>
        <v/>
      </c>
    </row>
    <row r="859" spans="4:8">
      <c r="D859" s="27" t="str">
        <f>IFERROR(VLOOKUP(A859,テーブル11[],2,FALSE),"")</f>
        <v/>
      </c>
      <c r="E859" s="25" t="str">
        <f>IFERROR(VLOOKUP($B859,テーブル12[],2,FALSE),"")</f>
        <v/>
      </c>
      <c r="F859" s="25" t="str">
        <f>IFERROR(VLOOKUP($B859,テーブル12[],3,FALSE),"")</f>
        <v/>
      </c>
      <c r="G859" s="31" t="str">
        <f>IFERROR(VLOOKUP($B859,テーブル12[],4,FALSE),"")</f>
        <v/>
      </c>
      <c r="H859" s="25" t="str">
        <f t="shared" si="19"/>
        <v/>
      </c>
    </row>
    <row r="860" spans="4:8">
      <c r="D860" s="27" t="str">
        <f>IFERROR(VLOOKUP(A860,テーブル11[],2,FALSE),"")</f>
        <v/>
      </c>
      <c r="E860" s="25" t="str">
        <f>IFERROR(VLOOKUP($B860,テーブル12[],2,FALSE),"")</f>
        <v/>
      </c>
      <c r="F860" s="25" t="str">
        <f>IFERROR(VLOOKUP($B860,テーブル12[],3,FALSE),"")</f>
        <v/>
      </c>
      <c r="G860" s="31" t="str">
        <f>IFERROR(VLOOKUP($B860,テーブル12[],4,FALSE),"")</f>
        <v/>
      </c>
      <c r="H860" s="25" t="str">
        <f t="shared" si="19"/>
        <v/>
      </c>
    </row>
    <row r="861" spans="4:8">
      <c r="D861" s="27" t="str">
        <f>IFERROR(VLOOKUP(A861,テーブル11[],2,FALSE),"")</f>
        <v/>
      </c>
      <c r="E861" s="25" t="str">
        <f>IFERROR(VLOOKUP($B861,テーブル12[],2,FALSE),"")</f>
        <v/>
      </c>
      <c r="F861" s="25" t="str">
        <f>IFERROR(VLOOKUP($B861,テーブル12[],3,FALSE),"")</f>
        <v/>
      </c>
      <c r="G861" s="31" t="str">
        <f>IFERROR(VLOOKUP($B861,テーブル12[],4,FALSE),"")</f>
        <v/>
      </c>
      <c r="H861" s="25" t="str">
        <f t="shared" si="19"/>
        <v/>
      </c>
    </row>
    <row r="862" spans="4:8">
      <c r="D862" s="27" t="str">
        <f>IFERROR(VLOOKUP(A862,テーブル11[],2,FALSE),"")</f>
        <v/>
      </c>
      <c r="E862" s="25" t="str">
        <f>IFERROR(VLOOKUP($B862,テーブル12[],2,FALSE),"")</f>
        <v/>
      </c>
      <c r="F862" s="25" t="str">
        <f>IFERROR(VLOOKUP($B862,テーブル12[],3,FALSE),"")</f>
        <v/>
      </c>
      <c r="G862" s="31" t="str">
        <f>IFERROR(VLOOKUP($B862,テーブル12[],4,FALSE),"")</f>
        <v/>
      </c>
      <c r="H862" s="25" t="str">
        <f t="shared" si="19"/>
        <v/>
      </c>
    </row>
    <row r="863" spans="4:8">
      <c r="D863" s="27" t="str">
        <f>IFERROR(VLOOKUP(A863,テーブル11[],2,FALSE),"")</f>
        <v/>
      </c>
      <c r="E863" s="25" t="str">
        <f>IFERROR(VLOOKUP($B863,テーブル12[],2,FALSE),"")</f>
        <v/>
      </c>
      <c r="F863" s="25" t="str">
        <f>IFERROR(VLOOKUP($B863,テーブル12[],3,FALSE),"")</f>
        <v/>
      </c>
      <c r="G863" s="31" t="str">
        <f>IFERROR(VLOOKUP($B863,テーブル12[],4,FALSE),"")</f>
        <v/>
      </c>
      <c r="H863" s="25" t="str">
        <f t="shared" si="19"/>
        <v/>
      </c>
    </row>
    <row r="864" spans="4:8">
      <c r="D864" s="27" t="str">
        <f>IFERROR(VLOOKUP(A864,テーブル11[],2,FALSE),"")</f>
        <v/>
      </c>
      <c r="E864" s="25" t="str">
        <f>IFERROR(VLOOKUP($B864,テーブル12[],2,FALSE),"")</f>
        <v/>
      </c>
      <c r="F864" s="25" t="str">
        <f>IFERROR(VLOOKUP($B864,テーブル12[],3,FALSE),"")</f>
        <v/>
      </c>
      <c r="G864" s="31" t="str">
        <f>IFERROR(VLOOKUP($B864,テーブル12[],4,FALSE),"")</f>
        <v/>
      </c>
      <c r="H864" s="25" t="str">
        <f t="shared" si="19"/>
        <v/>
      </c>
    </row>
    <row r="865" spans="4:8">
      <c r="D865" s="27" t="str">
        <f>IFERROR(VLOOKUP(A865,テーブル11[],2,FALSE),"")</f>
        <v/>
      </c>
      <c r="E865" s="25" t="str">
        <f>IFERROR(VLOOKUP($B865,テーブル12[],2,FALSE),"")</f>
        <v/>
      </c>
      <c r="F865" s="25" t="str">
        <f>IFERROR(VLOOKUP($B865,テーブル12[],3,FALSE),"")</f>
        <v/>
      </c>
      <c r="G865" s="31" t="str">
        <f>IFERROR(VLOOKUP($B865,テーブル12[],4,FALSE),"")</f>
        <v/>
      </c>
      <c r="H865" s="25" t="str">
        <f t="shared" si="19"/>
        <v/>
      </c>
    </row>
    <row r="866" spans="4:8">
      <c r="D866" s="27" t="str">
        <f>IFERROR(VLOOKUP(A866,テーブル11[],2,FALSE),"")</f>
        <v/>
      </c>
      <c r="E866" s="25" t="str">
        <f>IFERROR(VLOOKUP($B866,テーブル12[],2,FALSE),"")</f>
        <v/>
      </c>
      <c r="F866" s="25" t="str">
        <f>IFERROR(VLOOKUP($B866,テーブル12[],3,FALSE),"")</f>
        <v/>
      </c>
      <c r="G866" s="31" t="str">
        <f>IFERROR(VLOOKUP($B866,テーブル12[],4,FALSE),"")</f>
        <v/>
      </c>
      <c r="H866" s="25" t="str">
        <f t="shared" si="19"/>
        <v/>
      </c>
    </row>
    <row r="867" spans="4:8">
      <c r="D867" s="27" t="str">
        <f>IFERROR(VLOOKUP(A867,テーブル11[],2,FALSE),"")</f>
        <v/>
      </c>
      <c r="E867" s="25" t="str">
        <f>IFERROR(VLOOKUP($B867,テーブル12[],2,FALSE),"")</f>
        <v/>
      </c>
      <c r="F867" s="25" t="str">
        <f>IFERROR(VLOOKUP($B867,テーブル12[],3,FALSE),"")</f>
        <v/>
      </c>
      <c r="G867" s="31" t="str">
        <f>IFERROR(VLOOKUP($B867,テーブル12[],4,FALSE),"")</f>
        <v/>
      </c>
      <c r="H867" s="25" t="str">
        <f t="shared" si="19"/>
        <v/>
      </c>
    </row>
    <row r="868" spans="4:8">
      <c r="D868" s="27" t="str">
        <f>IFERROR(VLOOKUP(A868,テーブル11[],2,FALSE),"")</f>
        <v/>
      </c>
      <c r="E868" s="25" t="str">
        <f>IFERROR(VLOOKUP($B868,テーブル12[],2,FALSE),"")</f>
        <v/>
      </c>
      <c r="F868" s="25" t="str">
        <f>IFERROR(VLOOKUP($B868,テーブル12[],3,FALSE),"")</f>
        <v/>
      </c>
      <c r="G868" s="31" t="str">
        <f>IFERROR(VLOOKUP($B868,テーブル12[],4,FALSE),"")</f>
        <v/>
      </c>
      <c r="H868" s="25" t="str">
        <f t="shared" si="19"/>
        <v/>
      </c>
    </row>
    <row r="869" spans="4:8">
      <c r="D869" s="27" t="str">
        <f>IFERROR(VLOOKUP(A869,テーブル11[],2,FALSE),"")</f>
        <v/>
      </c>
      <c r="E869" s="25" t="str">
        <f>IFERROR(VLOOKUP($B869,テーブル12[],2,FALSE),"")</f>
        <v/>
      </c>
      <c r="F869" s="25" t="str">
        <f>IFERROR(VLOOKUP($B869,テーブル12[],3,FALSE),"")</f>
        <v/>
      </c>
      <c r="G869" s="31" t="str">
        <f>IFERROR(VLOOKUP($B869,テーブル12[],4,FALSE),"")</f>
        <v/>
      </c>
      <c r="H869" s="25" t="str">
        <f t="shared" si="19"/>
        <v/>
      </c>
    </row>
    <row r="870" spans="4:8">
      <c r="D870" s="27" t="str">
        <f>IFERROR(VLOOKUP(A870,テーブル11[],2,FALSE),"")</f>
        <v/>
      </c>
      <c r="E870" s="25" t="str">
        <f>IFERROR(VLOOKUP($B870,テーブル12[],2,FALSE),"")</f>
        <v/>
      </c>
      <c r="F870" s="25" t="str">
        <f>IFERROR(VLOOKUP($B870,テーブル12[],3,FALSE),"")</f>
        <v/>
      </c>
      <c r="G870" s="31" t="str">
        <f>IFERROR(VLOOKUP($B870,テーブル12[],4,FALSE),"")</f>
        <v/>
      </c>
      <c r="H870" s="25" t="str">
        <f t="shared" si="19"/>
        <v/>
      </c>
    </row>
    <row r="871" spans="4:8">
      <c r="D871" s="27" t="str">
        <f>IFERROR(VLOOKUP(A871,テーブル11[],2,FALSE),"")</f>
        <v/>
      </c>
      <c r="E871" s="25" t="str">
        <f>IFERROR(VLOOKUP($B871,テーブル12[],2,FALSE),"")</f>
        <v/>
      </c>
      <c r="F871" s="25" t="str">
        <f>IFERROR(VLOOKUP($B871,テーブル12[],3,FALSE),"")</f>
        <v/>
      </c>
      <c r="G871" s="31" t="str">
        <f>IFERROR(VLOOKUP($B871,テーブル12[],4,FALSE),"")</f>
        <v/>
      </c>
      <c r="H871" s="25" t="str">
        <f t="shared" si="19"/>
        <v/>
      </c>
    </row>
    <row r="872" spans="4:8">
      <c r="D872" s="27" t="str">
        <f>IFERROR(VLOOKUP(A872,テーブル11[],2,FALSE),"")</f>
        <v/>
      </c>
      <c r="E872" s="25" t="str">
        <f>IFERROR(VLOOKUP($B872,テーブル12[],2,FALSE),"")</f>
        <v/>
      </c>
      <c r="F872" s="25" t="str">
        <f>IFERROR(VLOOKUP($B872,テーブル12[],3,FALSE),"")</f>
        <v/>
      </c>
      <c r="G872" s="31" t="str">
        <f>IFERROR(VLOOKUP($B872,テーブル12[],4,FALSE),"")</f>
        <v/>
      </c>
      <c r="H872" s="25" t="str">
        <f t="shared" si="19"/>
        <v/>
      </c>
    </row>
    <row r="873" spans="4:8">
      <c r="D873" s="27" t="str">
        <f>IFERROR(VLOOKUP(A873,テーブル11[],2,FALSE),"")</f>
        <v/>
      </c>
      <c r="E873" s="25" t="str">
        <f>IFERROR(VLOOKUP($B873,テーブル12[],2,FALSE),"")</f>
        <v/>
      </c>
      <c r="F873" s="25" t="str">
        <f>IFERROR(VLOOKUP($B873,テーブル12[],3,FALSE),"")</f>
        <v/>
      </c>
      <c r="G873" s="31" t="str">
        <f>IFERROR(VLOOKUP($B873,テーブル12[],4,FALSE),"")</f>
        <v/>
      </c>
      <c r="H873" s="25" t="str">
        <f t="shared" si="19"/>
        <v/>
      </c>
    </row>
    <row r="874" spans="4:8">
      <c r="D874" s="27" t="str">
        <f>IFERROR(VLOOKUP(A874,テーブル11[],2,FALSE),"")</f>
        <v/>
      </c>
      <c r="E874" s="25" t="str">
        <f>IFERROR(VLOOKUP($B874,テーブル12[],2,FALSE),"")</f>
        <v/>
      </c>
      <c r="F874" s="25" t="str">
        <f>IFERROR(VLOOKUP($B874,テーブル12[],3,FALSE),"")</f>
        <v/>
      </c>
      <c r="G874" s="31" t="str">
        <f>IFERROR(VLOOKUP($B874,テーブル12[],4,FALSE),"")</f>
        <v/>
      </c>
      <c r="H874" s="25" t="str">
        <f t="shared" si="19"/>
        <v/>
      </c>
    </row>
    <row r="875" spans="4:8">
      <c r="D875" s="27" t="str">
        <f>IFERROR(VLOOKUP(A875,テーブル11[],2,FALSE),"")</f>
        <v/>
      </c>
      <c r="E875" s="25" t="str">
        <f>IFERROR(VLOOKUP($B875,テーブル12[],2,FALSE),"")</f>
        <v/>
      </c>
      <c r="F875" s="25" t="str">
        <f>IFERROR(VLOOKUP($B875,テーブル12[],3,FALSE),"")</f>
        <v/>
      </c>
      <c r="G875" s="31" t="str">
        <f>IFERROR(VLOOKUP($B875,テーブル12[],4,FALSE),"")</f>
        <v/>
      </c>
      <c r="H875" s="25" t="str">
        <f t="shared" si="19"/>
        <v/>
      </c>
    </row>
    <row r="876" spans="4:8">
      <c r="D876" s="27" t="str">
        <f>IFERROR(VLOOKUP(A876,テーブル11[],2,FALSE),"")</f>
        <v/>
      </c>
      <c r="E876" s="25" t="str">
        <f>IFERROR(VLOOKUP($B876,テーブル12[],2,FALSE),"")</f>
        <v/>
      </c>
      <c r="F876" s="25" t="str">
        <f>IFERROR(VLOOKUP($B876,テーブル12[],3,FALSE),"")</f>
        <v/>
      </c>
      <c r="G876" s="31" t="str">
        <f>IFERROR(VLOOKUP($B876,テーブル12[],4,FALSE),"")</f>
        <v/>
      </c>
      <c r="H876" s="25" t="str">
        <f t="shared" si="19"/>
        <v/>
      </c>
    </row>
    <row r="877" spans="4:8">
      <c r="D877" s="27" t="str">
        <f>IFERROR(VLOOKUP(A877,テーブル11[],2,FALSE),"")</f>
        <v/>
      </c>
      <c r="E877" s="25" t="str">
        <f>IFERROR(VLOOKUP($B877,テーブル12[],2,FALSE),"")</f>
        <v/>
      </c>
      <c r="F877" s="25" t="str">
        <f>IFERROR(VLOOKUP($B877,テーブル12[],3,FALSE),"")</f>
        <v/>
      </c>
      <c r="G877" s="31" t="str">
        <f>IFERROR(VLOOKUP($B877,テーブル12[],4,FALSE),"")</f>
        <v/>
      </c>
      <c r="H877" s="25" t="str">
        <f t="shared" si="19"/>
        <v/>
      </c>
    </row>
    <row r="878" spans="4:8">
      <c r="D878" s="27" t="str">
        <f>IFERROR(VLOOKUP(A878,テーブル11[],2,FALSE),"")</f>
        <v/>
      </c>
      <c r="E878" s="25" t="str">
        <f>IFERROR(VLOOKUP($B878,テーブル12[],2,FALSE),"")</f>
        <v/>
      </c>
      <c r="F878" s="25" t="str">
        <f>IFERROR(VLOOKUP($B878,テーブル12[],3,FALSE),"")</f>
        <v/>
      </c>
      <c r="G878" s="31" t="str">
        <f>IFERROR(VLOOKUP($B878,テーブル12[],4,FALSE),"")</f>
        <v/>
      </c>
      <c r="H878" s="25" t="str">
        <f t="shared" si="19"/>
        <v/>
      </c>
    </row>
    <row r="879" spans="4:8">
      <c r="D879" s="27" t="str">
        <f>IFERROR(VLOOKUP(A879,テーブル11[],2,FALSE),"")</f>
        <v/>
      </c>
      <c r="E879" s="25" t="str">
        <f>IFERROR(VLOOKUP($B879,テーブル12[],2,FALSE),"")</f>
        <v/>
      </c>
      <c r="F879" s="25" t="str">
        <f>IFERROR(VLOOKUP($B879,テーブル12[],3,FALSE),"")</f>
        <v/>
      </c>
      <c r="G879" s="31" t="str">
        <f>IFERROR(VLOOKUP($B879,テーブル12[],4,FALSE),"")</f>
        <v/>
      </c>
      <c r="H879" s="25" t="str">
        <f t="shared" si="19"/>
        <v/>
      </c>
    </row>
    <row r="880" spans="4:8">
      <c r="D880" s="27" t="str">
        <f>IFERROR(VLOOKUP(A880,テーブル11[],2,FALSE),"")</f>
        <v/>
      </c>
      <c r="E880" s="25" t="str">
        <f>IFERROR(VLOOKUP($B880,テーブル12[],2,FALSE),"")</f>
        <v/>
      </c>
      <c r="F880" s="25" t="str">
        <f>IFERROR(VLOOKUP($B880,テーブル12[],3,FALSE),"")</f>
        <v/>
      </c>
      <c r="G880" s="31" t="str">
        <f>IFERROR(VLOOKUP($B880,テーブル12[],4,FALSE),"")</f>
        <v/>
      </c>
      <c r="H880" s="25" t="str">
        <f t="shared" si="19"/>
        <v/>
      </c>
    </row>
    <row r="881" spans="4:8">
      <c r="D881" s="27" t="str">
        <f>IFERROR(VLOOKUP(A881,テーブル11[],2,FALSE),"")</f>
        <v/>
      </c>
      <c r="E881" s="25" t="str">
        <f>IFERROR(VLOOKUP($B881,テーブル12[],2,FALSE),"")</f>
        <v/>
      </c>
      <c r="F881" s="25" t="str">
        <f>IFERROR(VLOOKUP($B881,テーブル12[],3,FALSE),"")</f>
        <v/>
      </c>
      <c r="G881" s="31" t="str">
        <f>IFERROR(VLOOKUP($B881,テーブル12[],4,FALSE),"")</f>
        <v/>
      </c>
      <c r="H881" s="25" t="str">
        <f t="shared" si="19"/>
        <v/>
      </c>
    </row>
    <row r="882" spans="4:8">
      <c r="D882" s="27" t="str">
        <f>IFERROR(VLOOKUP(A882,テーブル11[],2,FALSE),"")</f>
        <v/>
      </c>
      <c r="E882" s="25" t="str">
        <f>IFERROR(VLOOKUP($B882,テーブル12[],2,FALSE),"")</f>
        <v/>
      </c>
      <c r="F882" s="25" t="str">
        <f>IFERROR(VLOOKUP($B882,テーブル12[],3,FALSE),"")</f>
        <v/>
      </c>
      <c r="G882" s="31" t="str">
        <f>IFERROR(VLOOKUP($B882,テーブル12[],4,FALSE),"")</f>
        <v/>
      </c>
      <c r="H882" s="25" t="str">
        <f t="shared" si="19"/>
        <v/>
      </c>
    </row>
    <row r="883" spans="4:8">
      <c r="D883" s="27" t="str">
        <f>IFERROR(VLOOKUP(A883,テーブル11[],2,FALSE),"")</f>
        <v/>
      </c>
      <c r="E883" s="25" t="str">
        <f>IFERROR(VLOOKUP($B883,テーブル12[],2,FALSE),"")</f>
        <v/>
      </c>
      <c r="F883" s="25" t="str">
        <f>IFERROR(VLOOKUP($B883,テーブル12[],3,FALSE),"")</f>
        <v/>
      </c>
      <c r="G883" s="31" t="str">
        <f>IFERROR(VLOOKUP($B883,テーブル12[],4,FALSE),"")</f>
        <v/>
      </c>
      <c r="H883" s="25" t="str">
        <f t="shared" si="19"/>
        <v/>
      </c>
    </row>
    <row r="884" spans="4:8">
      <c r="D884" s="27" t="str">
        <f>IFERROR(VLOOKUP(A884,テーブル11[],2,FALSE),"")</f>
        <v/>
      </c>
      <c r="E884" s="25" t="str">
        <f>IFERROR(VLOOKUP($B884,テーブル12[],2,FALSE),"")</f>
        <v/>
      </c>
      <c r="F884" s="25" t="str">
        <f>IFERROR(VLOOKUP($B884,テーブル12[],3,FALSE),"")</f>
        <v/>
      </c>
      <c r="G884" s="31" t="str">
        <f>IFERROR(VLOOKUP($B884,テーブル12[],4,FALSE),"")</f>
        <v/>
      </c>
      <c r="H884" s="25" t="str">
        <f t="shared" si="19"/>
        <v/>
      </c>
    </row>
    <row r="885" spans="4:8">
      <c r="D885" s="27" t="str">
        <f>IFERROR(VLOOKUP(A885,テーブル11[],2,FALSE),"")</f>
        <v/>
      </c>
      <c r="E885" s="25" t="str">
        <f>IFERROR(VLOOKUP($B885,テーブル12[],2,FALSE),"")</f>
        <v/>
      </c>
      <c r="F885" s="25" t="str">
        <f>IFERROR(VLOOKUP($B885,テーブル12[],3,FALSE),"")</f>
        <v/>
      </c>
      <c r="G885" s="31" t="str">
        <f>IFERROR(VLOOKUP($B885,テーブル12[],4,FALSE),"")</f>
        <v/>
      </c>
      <c r="H885" s="25" t="str">
        <f t="shared" si="19"/>
        <v/>
      </c>
    </row>
    <row r="886" spans="4:8">
      <c r="D886" s="27" t="str">
        <f>IFERROR(VLOOKUP(A886,テーブル11[],2,FALSE),"")</f>
        <v/>
      </c>
      <c r="E886" s="25" t="str">
        <f>IFERROR(VLOOKUP($B886,テーブル12[],2,FALSE),"")</f>
        <v/>
      </c>
      <c r="F886" s="25" t="str">
        <f>IFERROR(VLOOKUP($B886,テーブル12[],3,FALSE),"")</f>
        <v/>
      </c>
      <c r="G886" s="31" t="str">
        <f>IFERROR(VLOOKUP($B886,テーブル12[],4,FALSE),"")</f>
        <v/>
      </c>
      <c r="H886" s="25" t="str">
        <f t="shared" si="19"/>
        <v/>
      </c>
    </row>
    <row r="887" spans="4:8">
      <c r="D887" s="27" t="str">
        <f>IFERROR(VLOOKUP(A887,テーブル11[],2,FALSE),"")</f>
        <v/>
      </c>
      <c r="E887" s="25" t="str">
        <f>IFERROR(VLOOKUP($B887,テーブル12[],2,FALSE),"")</f>
        <v/>
      </c>
      <c r="F887" s="25" t="str">
        <f>IFERROR(VLOOKUP($B887,テーブル12[],3,FALSE),"")</f>
        <v/>
      </c>
      <c r="G887" s="31" t="str">
        <f>IFERROR(VLOOKUP($B887,テーブル12[],4,FALSE),"")</f>
        <v/>
      </c>
      <c r="H887" s="25" t="str">
        <f t="shared" si="19"/>
        <v/>
      </c>
    </row>
    <row r="888" spans="4:8">
      <c r="D888" s="27" t="str">
        <f>IFERROR(VLOOKUP(A888,テーブル11[],2,FALSE),"")</f>
        <v/>
      </c>
      <c r="E888" s="25" t="str">
        <f>IFERROR(VLOOKUP($B888,テーブル12[],2,FALSE),"")</f>
        <v/>
      </c>
      <c r="F888" s="25" t="str">
        <f>IFERROR(VLOOKUP($B888,テーブル12[],3,FALSE),"")</f>
        <v/>
      </c>
      <c r="G888" s="31" t="str">
        <f>IFERROR(VLOOKUP($B888,テーブル12[],4,FALSE),"")</f>
        <v/>
      </c>
      <c r="H888" s="25" t="str">
        <f t="shared" si="19"/>
        <v/>
      </c>
    </row>
    <row r="889" spans="4:8">
      <c r="D889" s="27" t="str">
        <f>IFERROR(VLOOKUP(A889,テーブル11[],2,FALSE),"")</f>
        <v/>
      </c>
      <c r="E889" s="25" t="str">
        <f>IFERROR(VLOOKUP($B889,テーブル12[],2,FALSE),"")</f>
        <v/>
      </c>
      <c r="F889" s="25" t="str">
        <f>IFERROR(VLOOKUP($B889,テーブル12[],3,FALSE),"")</f>
        <v/>
      </c>
      <c r="G889" s="31" t="str">
        <f>IFERROR(VLOOKUP($B889,テーブル12[],4,FALSE),"")</f>
        <v/>
      </c>
      <c r="H889" s="25" t="str">
        <f t="shared" si="19"/>
        <v/>
      </c>
    </row>
    <row r="890" spans="4:8">
      <c r="D890" s="27" t="str">
        <f>IFERROR(VLOOKUP(A890,テーブル11[],2,FALSE),"")</f>
        <v/>
      </c>
      <c r="E890" s="25" t="str">
        <f>IFERROR(VLOOKUP($B890,テーブル12[],2,FALSE),"")</f>
        <v/>
      </c>
      <c r="F890" s="25" t="str">
        <f>IFERROR(VLOOKUP($B890,テーブル12[],3,FALSE),"")</f>
        <v/>
      </c>
      <c r="G890" s="31" t="str">
        <f>IFERROR(VLOOKUP($B890,テーブル12[],4,FALSE),"")</f>
        <v/>
      </c>
      <c r="H890" s="25" t="str">
        <f t="shared" si="19"/>
        <v/>
      </c>
    </row>
    <row r="891" spans="4:8">
      <c r="D891" s="27" t="str">
        <f>IFERROR(VLOOKUP(A891,テーブル11[],2,FALSE),"")</f>
        <v/>
      </c>
      <c r="E891" s="25" t="str">
        <f>IFERROR(VLOOKUP($B891,テーブル12[],2,FALSE),"")</f>
        <v/>
      </c>
      <c r="F891" s="25" t="str">
        <f>IFERROR(VLOOKUP($B891,テーブル12[],3,FALSE),"")</f>
        <v/>
      </c>
      <c r="G891" s="31" t="str">
        <f>IFERROR(VLOOKUP($B891,テーブル12[],4,FALSE),"")</f>
        <v/>
      </c>
      <c r="H891" s="25" t="str">
        <f t="shared" si="19"/>
        <v/>
      </c>
    </row>
    <row r="892" spans="4:8">
      <c r="D892" s="27" t="str">
        <f>IFERROR(VLOOKUP(A892,テーブル11[],2,FALSE),"")</f>
        <v/>
      </c>
      <c r="E892" s="25" t="str">
        <f>IFERROR(VLOOKUP($B892,テーブル12[],2,FALSE),"")</f>
        <v/>
      </c>
      <c r="F892" s="25" t="str">
        <f>IFERROR(VLOOKUP($B892,テーブル12[],3,FALSE),"")</f>
        <v/>
      </c>
      <c r="G892" s="31" t="str">
        <f>IFERROR(VLOOKUP($B892,テーブル12[],4,FALSE),"")</f>
        <v/>
      </c>
      <c r="H892" s="25" t="str">
        <f t="shared" si="19"/>
        <v/>
      </c>
    </row>
    <row r="893" spans="4:8">
      <c r="D893" s="27" t="str">
        <f>IFERROR(VLOOKUP(A893,テーブル11[],2,FALSE),"")</f>
        <v/>
      </c>
      <c r="E893" s="25" t="str">
        <f>IFERROR(VLOOKUP($B893,テーブル12[],2,FALSE),"")</f>
        <v/>
      </c>
      <c r="F893" s="25" t="str">
        <f>IFERROR(VLOOKUP($B893,テーブル12[],3,FALSE),"")</f>
        <v/>
      </c>
      <c r="G893" s="31" t="str">
        <f>IFERROR(VLOOKUP($B893,テーブル12[],4,FALSE),"")</f>
        <v/>
      </c>
      <c r="H893" s="25" t="str">
        <f t="shared" si="19"/>
        <v/>
      </c>
    </row>
    <row r="894" spans="4:8">
      <c r="D894" s="27" t="str">
        <f>IFERROR(VLOOKUP(A894,テーブル11[],2,FALSE),"")</f>
        <v/>
      </c>
      <c r="E894" s="25" t="str">
        <f>IFERROR(VLOOKUP($B894,テーブル12[],2,FALSE),"")</f>
        <v/>
      </c>
      <c r="F894" s="25" t="str">
        <f>IFERROR(VLOOKUP($B894,テーブル12[],3,FALSE),"")</f>
        <v/>
      </c>
      <c r="G894" s="31" t="str">
        <f>IFERROR(VLOOKUP($B894,テーブル12[],4,FALSE),"")</f>
        <v/>
      </c>
      <c r="H894" s="25" t="str">
        <f t="shared" si="19"/>
        <v/>
      </c>
    </row>
    <row r="895" spans="4:8">
      <c r="D895" s="27" t="str">
        <f>IFERROR(VLOOKUP(A895,テーブル11[],2,FALSE),"")</f>
        <v/>
      </c>
      <c r="E895" s="25" t="str">
        <f>IFERROR(VLOOKUP($B895,テーブル12[],2,FALSE),"")</f>
        <v/>
      </c>
      <c r="F895" s="25" t="str">
        <f>IFERROR(VLOOKUP($B895,テーブル12[],3,FALSE),"")</f>
        <v/>
      </c>
      <c r="G895" s="31" t="str">
        <f>IFERROR(VLOOKUP($B895,テーブル12[],4,FALSE),"")</f>
        <v/>
      </c>
      <c r="H895" s="25" t="str">
        <f t="shared" si="19"/>
        <v/>
      </c>
    </row>
    <row r="896" spans="4:8">
      <c r="D896" s="27" t="str">
        <f>IFERROR(VLOOKUP(A896,テーブル11[],2,FALSE),"")</f>
        <v/>
      </c>
      <c r="E896" s="25" t="str">
        <f>IFERROR(VLOOKUP($B896,テーブル12[],2,FALSE),"")</f>
        <v/>
      </c>
      <c r="F896" s="25" t="str">
        <f>IFERROR(VLOOKUP($B896,テーブル12[],3,FALSE),"")</f>
        <v/>
      </c>
      <c r="G896" s="31" t="str">
        <f>IFERROR(VLOOKUP($B896,テーブル12[],4,FALSE),"")</f>
        <v/>
      </c>
      <c r="H896" s="25" t="str">
        <f t="shared" si="19"/>
        <v/>
      </c>
    </row>
    <row r="897" spans="4:8">
      <c r="D897" s="27" t="str">
        <f>IFERROR(VLOOKUP(A897,テーブル11[],2,FALSE),"")</f>
        <v/>
      </c>
      <c r="E897" s="25" t="str">
        <f>IFERROR(VLOOKUP($B897,テーブル12[],2,FALSE),"")</f>
        <v/>
      </c>
      <c r="F897" s="25" t="str">
        <f>IFERROR(VLOOKUP($B897,テーブル12[],3,FALSE),"")</f>
        <v/>
      </c>
      <c r="G897" s="31" t="str">
        <f>IFERROR(VLOOKUP($B897,テーブル12[],4,FALSE),"")</f>
        <v/>
      </c>
      <c r="H897" s="25" t="str">
        <f t="shared" si="19"/>
        <v/>
      </c>
    </row>
    <row r="898" spans="4:8">
      <c r="D898" s="27" t="str">
        <f>IFERROR(VLOOKUP(A898,テーブル11[],2,FALSE),"")</f>
        <v/>
      </c>
      <c r="E898" s="25" t="str">
        <f>IFERROR(VLOOKUP($B898,テーブル12[],2,FALSE),"")</f>
        <v/>
      </c>
      <c r="F898" s="25" t="str">
        <f>IFERROR(VLOOKUP($B898,テーブル12[],3,FALSE),"")</f>
        <v/>
      </c>
      <c r="G898" s="31" t="str">
        <f>IFERROR(VLOOKUP($B898,テーブル12[],4,FALSE),"")</f>
        <v/>
      </c>
      <c r="H898" s="25" t="str">
        <f t="shared" ref="H898:H961" si="20">IF(C898=0,"",C898)</f>
        <v/>
      </c>
    </row>
    <row r="899" spans="4:8">
      <c r="D899" s="27" t="str">
        <f>IFERROR(VLOOKUP(A899,テーブル11[],2,FALSE),"")</f>
        <v/>
      </c>
      <c r="E899" s="25" t="str">
        <f>IFERROR(VLOOKUP($B899,テーブル12[],2,FALSE),"")</f>
        <v/>
      </c>
      <c r="F899" s="25" t="str">
        <f>IFERROR(VLOOKUP($B899,テーブル12[],3,FALSE),"")</f>
        <v/>
      </c>
      <c r="G899" s="31" t="str">
        <f>IFERROR(VLOOKUP($B899,テーブル12[],4,FALSE),"")</f>
        <v/>
      </c>
      <c r="H899" s="25" t="str">
        <f t="shared" si="20"/>
        <v/>
      </c>
    </row>
    <row r="900" spans="4:8">
      <c r="D900" s="27" t="str">
        <f>IFERROR(VLOOKUP(A900,テーブル11[],2,FALSE),"")</f>
        <v/>
      </c>
      <c r="E900" s="25" t="str">
        <f>IFERROR(VLOOKUP($B900,テーブル12[],2,FALSE),"")</f>
        <v/>
      </c>
      <c r="F900" s="25" t="str">
        <f>IFERROR(VLOOKUP($B900,テーブル12[],3,FALSE),"")</f>
        <v/>
      </c>
      <c r="G900" s="31" t="str">
        <f>IFERROR(VLOOKUP($B900,テーブル12[],4,FALSE),"")</f>
        <v/>
      </c>
      <c r="H900" s="25" t="str">
        <f t="shared" si="20"/>
        <v/>
      </c>
    </row>
    <row r="901" spans="4:8">
      <c r="D901" s="27" t="str">
        <f>IFERROR(VLOOKUP(A901,テーブル11[],2,FALSE),"")</f>
        <v/>
      </c>
      <c r="E901" s="25" t="str">
        <f>IFERROR(VLOOKUP($B901,テーブル12[],2,FALSE),"")</f>
        <v/>
      </c>
      <c r="F901" s="25" t="str">
        <f>IFERROR(VLOOKUP($B901,テーブル12[],3,FALSE),"")</f>
        <v/>
      </c>
      <c r="G901" s="31" t="str">
        <f>IFERROR(VLOOKUP($B901,テーブル12[],4,FALSE),"")</f>
        <v/>
      </c>
      <c r="H901" s="25" t="str">
        <f t="shared" si="20"/>
        <v/>
      </c>
    </row>
    <row r="902" spans="4:8">
      <c r="D902" s="27" t="str">
        <f>IFERROR(VLOOKUP(A902,テーブル11[],2,FALSE),"")</f>
        <v/>
      </c>
      <c r="E902" s="25" t="str">
        <f>IFERROR(VLOOKUP($B902,テーブル12[],2,FALSE),"")</f>
        <v/>
      </c>
      <c r="F902" s="25" t="str">
        <f>IFERROR(VLOOKUP($B902,テーブル12[],3,FALSE),"")</f>
        <v/>
      </c>
      <c r="G902" s="31" t="str">
        <f>IFERROR(VLOOKUP($B902,テーブル12[],4,FALSE),"")</f>
        <v/>
      </c>
      <c r="H902" s="25" t="str">
        <f t="shared" si="20"/>
        <v/>
      </c>
    </row>
    <row r="903" spans="4:8">
      <c r="D903" s="27" t="str">
        <f>IFERROR(VLOOKUP(A903,テーブル11[],2,FALSE),"")</f>
        <v/>
      </c>
      <c r="E903" s="25" t="str">
        <f>IFERROR(VLOOKUP($B903,テーブル12[],2,FALSE),"")</f>
        <v/>
      </c>
      <c r="F903" s="25" t="str">
        <f>IFERROR(VLOOKUP($B903,テーブル12[],3,FALSE),"")</f>
        <v/>
      </c>
      <c r="G903" s="31" t="str">
        <f>IFERROR(VLOOKUP($B903,テーブル12[],4,FALSE),"")</f>
        <v/>
      </c>
      <c r="H903" s="25" t="str">
        <f t="shared" si="20"/>
        <v/>
      </c>
    </row>
    <row r="904" spans="4:8">
      <c r="D904" s="27" t="str">
        <f>IFERROR(VLOOKUP(A904,テーブル11[],2,FALSE),"")</f>
        <v/>
      </c>
      <c r="E904" s="25" t="str">
        <f>IFERROR(VLOOKUP($B904,テーブル12[],2,FALSE),"")</f>
        <v/>
      </c>
      <c r="F904" s="25" t="str">
        <f>IFERROR(VLOOKUP($B904,テーブル12[],3,FALSE),"")</f>
        <v/>
      </c>
      <c r="G904" s="31" t="str">
        <f>IFERROR(VLOOKUP($B904,テーブル12[],4,FALSE),"")</f>
        <v/>
      </c>
      <c r="H904" s="25" t="str">
        <f t="shared" si="20"/>
        <v/>
      </c>
    </row>
    <row r="905" spans="4:8">
      <c r="D905" s="27" t="str">
        <f>IFERROR(VLOOKUP(A905,テーブル11[],2,FALSE),"")</f>
        <v/>
      </c>
      <c r="E905" s="25" t="str">
        <f>IFERROR(VLOOKUP($B905,テーブル12[],2,FALSE),"")</f>
        <v/>
      </c>
      <c r="F905" s="25" t="str">
        <f>IFERROR(VLOOKUP($B905,テーブル12[],3,FALSE),"")</f>
        <v/>
      </c>
      <c r="G905" s="31" t="str">
        <f>IFERROR(VLOOKUP($B905,テーブル12[],4,FALSE),"")</f>
        <v/>
      </c>
      <c r="H905" s="25" t="str">
        <f t="shared" si="20"/>
        <v/>
      </c>
    </row>
    <row r="906" spans="4:8">
      <c r="D906" s="27" t="str">
        <f>IFERROR(VLOOKUP(A906,テーブル11[],2,FALSE),"")</f>
        <v/>
      </c>
      <c r="E906" s="25" t="str">
        <f>IFERROR(VLOOKUP($B906,テーブル12[],2,FALSE),"")</f>
        <v/>
      </c>
      <c r="F906" s="25" t="str">
        <f>IFERROR(VLOOKUP($B906,テーブル12[],3,FALSE),"")</f>
        <v/>
      </c>
      <c r="G906" s="31" t="str">
        <f>IFERROR(VLOOKUP($B906,テーブル12[],4,FALSE),"")</f>
        <v/>
      </c>
      <c r="H906" s="25" t="str">
        <f t="shared" si="20"/>
        <v/>
      </c>
    </row>
    <row r="907" spans="4:8">
      <c r="D907" s="27" t="str">
        <f>IFERROR(VLOOKUP(A907,テーブル11[],2,FALSE),"")</f>
        <v/>
      </c>
      <c r="E907" s="25" t="str">
        <f>IFERROR(VLOOKUP($B907,テーブル12[],2,FALSE),"")</f>
        <v/>
      </c>
      <c r="F907" s="25" t="str">
        <f>IFERROR(VLOOKUP($B907,テーブル12[],3,FALSE),"")</f>
        <v/>
      </c>
      <c r="G907" s="31" t="str">
        <f>IFERROR(VLOOKUP($B907,テーブル12[],4,FALSE),"")</f>
        <v/>
      </c>
      <c r="H907" s="25" t="str">
        <f t="shared" si="20"/>
        <v/>
      </c>
    </row>
    <row r="908" spans="4:8">
      <c r="D908" s="27" t="str">
        <f>IFERROR(VLOOKUP(A908,テーブル11[],2,FALSE),"")</f>
        <v/>
      </c>
      <c r="E908" s="25" t="str">
        <f>IFERROR(VLOOKUP($B908,テーブル12[],2,FALSE),"")</f>
        <v/>
      </c>
      <c r="F908" s="25" t="str">
        <f>IFERROR(VLOOKUP($B908,テーブル12[],3,FALSE),"")</f>
        <v/>
      </c>
      <c r="G908" s="31" t="str">
        <f>IFERROR(VLOOKUP($B908,テーブル12[],4,FALSE),"")</f>
        <v/>
      </c>
      <c r="H908" s="25" t="str">
        <f t="shared" si="20"/>
        <v/>
      </c>
    </row>
    <row r="909" spans="4:8">
      <c r="D909" s="27" t="str">
        <f>IFERROR(VLOOKUP(A909,テーブル11[],2,FALSE),"")</f>
        <v/>
      </c>
      <c r="E909" s="25" t="str">
        <f>IFERROR(VLOOKUP($B909,テーブル12[],2,FALSE),"")</f>
        <v/>
      </c>
      <c r="F909" s="25" t="str">
        <f>IFERROR(VLOOKUP($B909,テーブル12[],3,FALSE),"")</f>
        <v/>
      </c>
      <c r="G909" s="31" t="str">
        <f>IFERROR(VLOOKUP($B909,テーブル12[],4,FALSE),"")</f>
        <v/>
      </c>
      <c r="H909" s="25" t="str">
        <f t="shared" si="20"/>
        <v/>
      </c>
    </row>
    <row r="910" spans="4:8">
      <c r="D910" s="27" t="str">
        <f>IFERROR(VLOOKUP(A910,テーブル11[],2,FALSE),"")</f>
        <v/>
      </c>
      <c r="E910" s="25" t="str">
        <f>IFERROR(VLOOKUP($B910,テーブル12[],2,FALSE),"")</f>
        <v/>
      </c>
      <c r="F910" s="25" t="str">
        <f>IFERROR(VLOOKUP($B910,テーブル12[],3,FALSE),"")</f>
        <v/>
      </c>
      <c r="G910" s="31" t="str">
        <f>IFERROR(VLOOKUP($B910,テーブル12[],4,FALSE),"")</f>
        <v/>
      </c>
      <c r="H910" s="25" t="str">
        <f t="shared" si="20"/>
        <v/>
      </c>
    </row>
    <row r="911" spans="4:8">
      <c r="D911" s="27" t="str">
        <f>IFERROR(VLOOKUP(A911,テーブル11[],2,FALSE),"")</f>
        <v/>
      </c>
      <c r="E911" s="25" t="str">
        <f>IFERROR(VLOOKUP($B911,テーブル12[],2,FALSE),"")</f>
        <v/>
      </c>
      <c r="F911" s="25" t="str">
        <f>IFERROR(VLOOKUP($B911,テーブル12[],3,FALSE),"")</f>
        <v/>
      </c>
      <c r="G911" s="31" t="str">
        <f>IFERROR(VLOOKUP($B911,テーブル12[],4,FALSE),"")</f>
        <v/>
      </c>
      <c r="H911" s="25" t="str">
        <f t="shared" si="20"/>
        <v/>
      </c>
    </row>
    <row r="912" spans="4:8">
      <c r="D912" s="27" t="str">
        <f>IFERROR(VLOOKUP(A912,テーブル11[],2,FALSE),"")</f>
        <v/>
      </c>
      <c r="E912" s="25" t="str">
        <f>IFERROR(VLOOKUP($B912,テーブル12[],2,FALSE),"")</f>
        <v/>
      </c>
      <c r="F912" s="25" t="str">
        <f>IFERROR(VLOOKUP($B912,テーブル12[],3,FALSE),"")</f>
        <v/>
      </c>
      <c r="G912" s="31" t="str">
        <f>IFERROR(VLOOKUP($B912,テーブル12[],4,FALSE),"")</f>
        <v/>
      </c>
      <c r="H912" s="25" t="str">
        <f t="shared" si="20"/>
        <v/>
      </c>
    </row>
    <row r="913" spans="4:8">
      <c r="D913" s="27" t="str">
        <f>IFERROR(VLOOKUP(A913,テーブル11[],2,FALSE),"")</f>
        <v/>
      </c>
      <c r="E913" s="25" t="str">
        <f>IFERROR(VLOOKUP($B913,テーブル12[],2,FALSE),"")</f>
        <v/>
      </c>
      <c r="F913" s="25" t="str">
        <f>IFERROR(VLOOKUP($B913,テーブル12[],3,FALSE),"")</f>
        <v/>
      </c>
      <c r="G913" s="31" t="str">
        <f>IFERROR(VLOOKUP($B913,テーブル12[],4,FALSE),"")</f>
        <v/>
      </c>
      <c r="H913" s="25" t="str">
        <f t="shared" si="20"/>
        <v/>
      </c>
    </row>
    <row r="914" spans="4:8">
      <c r="D914" s="27" t="str">
        <f>IFERROR(VLOOKUP(A914,テーブル11[],2,FALSE),"")</f>
        <v/>
      </c>
      <c r="E914" s="25" t="str">
        <f>IFERROR(VLOOKUP($B914,テーブル12[],2,FALSE),"")</f>
        <v/>
      </c>
      <c r="F914" s="25" t="str">
        <f>IFERROR(VLOOKUP($B914,テーブル12[],3,FALSE),"")</f>
        <v/>
      </c>
      <c r="G914" s="31" t="str">
        <f>IFERROR(VLOOKUP($B914,テーブル12[],4,FALSE),"")</f>
        <v/>
      </c>
      <c r="H914" s="25" t="str">
        <f t="shared" si="20"/>
        <v/>
      </c>
    </row>
    <row r="915" spans="4:8">
      <c r="D915" s="27" t="str">
        <f>IFERROR(VLOOKUP(A915,テーブル11[],2,FALSE),"")</f>
        <v/>
      </c>
      <c r="E915" s="25" t="str">
        <f>IFERROR(VLOOKUP($B915,テーブル12[],2,FALSE),"")</f>
        <v/>
      </c>
      <c r="F915" s="25" t="str">
        <f>IFERROR(VLOOKUP($B915,テーブル12[],3,FALSE),"")</f>
        <v/>
      </c>
      <c r="G915" s="31" t="str">
        <f>IFERROR(VLOOKUP($B915,テーブル12[],4,FALSE),"")</f>
        <v/>
      </c>
      <c r="H915" s="25" t="str">
        <f t="shared" si="20"/>
        <v/>
      </c>
    </row>
    <row r="916" spans="4:8">
      <c r="D916" s="27" t="str">
        <f>IFERROR(VLOOKUP(A916,テーブル11[],2,FALSE),"")</f>
        <v/>
      </c>
      <c r="E916" s="25" t="str">
        <f>IFERROR(VLOOKUP($B916,テーブル12[],2,FALSE),"")</f>
        <v/>
      </c>
      <c r="F916" s="25" t="str">
        <f>IFERROR(VLOOKUP($B916,テーブル12[],3,FALSE),"")</f>
        <v/>
      </c>
      <c r="G916" s="31" t="str">
        <f>IFERROR(VLOOKUP($B916,テーブル12[],4,FALSE),"")</f>
        <v/>
      </c>
      <c r="H916" s="25" t="str">
        <f t="shared" si="20"/>
        <v/>
      </c>
    </row>
    <row r="917" spans="4:8">
      <c r="D917" s="27" t="str">
        <f>IFERROR(VLOOKUP(A917,テーブル11[],2,FALSE),"")</f>
        <v/>
      </c>
      <c r="E917" s="25" t="str">
        <f>IFERROR(VLOOKUP($B917,テーブル12[],2,FALSE),"")</f>
        <v/>
      </c>
      <c r="F917" s="25" t="str">
        <f>IFERROR(VLOOKUP($B917,テーブル12[],3,FALSE),"")</f>
        <v/>
      </c>
      <c r="G917" s="31" t="str">
        <f>IFERROR(VLOOKUP($B917,テーブル12[],4,FALSE),"")</f>
        <v/>
      </c>
      <c r="H917" s="25" t="str">
        <f t="shared" si="20"/>
        <v/>
      </c>
    </row>
    <row r="918" spans="4:8">
      <c r="D918" s="27" t="str">
        <f>IFERROR(VLOOKUP(A918,テーブル11[],2,FALSE),"")</f>
        <v/>
      </c>
      <c r="E918" s="25" t="str">
        <f>IFERROR(VLOOKUP($B918,テーブル12[],2,FALSE),"")</f>
        <v/>
      </c>
      <c r="F918" s="25" t="str">
        <f>IFERROR(VLOOKUP($B918,テーブル12[],3,FALSE),"")</f>
        <v/>
      </c>
      <c r="G918" s="31" t="str">
        <f>IFERROR(VLOOKUP($B918,テーブル12[],4,FALSE),"")</f>
        <v/>
      </c>
      <c r="H918" s="25" t="str">
        <f t="shared" si="20"/>
        <v/>
      </c>
    </row>
    <row r="919" spans="4:8">
      <c r="D919" s="27" t="str">
        <f>IFERROR(VLOOKUP(A919,テーブル11[],2,FALSE),"")</f>
        <v/>
      </c>
      <c r="E919" s="25" t="str">
        <f>IFERROR(VLOOKUP($B919,テーブル12[],2,FALSE),"")</f>
        <v/>
      </c>
      <c r="F919" s="25" t="str">
        <f>IFERROR(VLOOKUP($B919,テーブル12[],3,FALSE),"")</f>
        <v/>
      </c>
      <c r="G919" s="31" t="str">
        <f>IFERROR(VLOOKUP($B919,テーブル12[],4,FALSE),"")</f>
        <v/>
      </c>
      <c r="H919" s="25" t="str">
        <f t="shared" si="20"/>
        <v/>
      </c>
    </row>
    <row r="920" spans="4:8">
      <c r="D920" s="27" t="str">
        <f>IFERROR(VLOOKUP(A920,テーブル11[],2,FALSE),"")</f>
        <v/>
      </c>
      <c r="E920" s="25" t="str">
        <f>IFERROR(VLOOKUP($B920,テーブル12[],2,FALSE),"")</f>
        <v/>
      </c>
      <c r="F920" s="25" t="str">
        <f>IFERROR(VLOOKUP($B920,テーブル12[],3,FALSE),"")</f>
        <v/>
      </c>
      <c r="G920" s="31" t="str">
        <f>IFERROR(VLOOKUP($B920,テーブル12[],4,FALSE),"")</f>
        <v/>
      </c>
      <c r="H920" s="25" t="str">
        <f t="shared" si="20"/>
        <v/>
      </c>
    </row>
    <row r="921" spans="4:8">
      <c r="D921" s="27" t="str">
        <f>IFERROR(VLOOKUP(A921,テーブル11[],2,FALSE),"")</f>
        <v/>
      </c>
      <c r="E921" s="25" t="str">
        <f>IFERROR(VLOOKUP($B921,テーブル12[],2,FALSE),"")</f>
        <v/>
      </c>
      <c r="F921" s="25" t="str">
        <f>IFERROR(VLOOKUP($B921,テーブル12[],3,FALSE),"")</f>
        <v/>
      </c>
      <c r="G921" s="31" t="str">
        <f>IFERROR(VLOOKUP($B921,テーブル12[],4,FALSE),"")</f>
        <v/>
      </c>
      <c r="H921" s="25" t="str">
        <f t="shared" si="20"/>
        <v/>
      </c>
    </row>
    <row r="922" spans="4:8">
      <c r="D922" s="27" t="str">
        <f>IFERROR(VLOOKUP(A922,テーブル11[],2,FALSE),"")</f>
        <v/>
      </c>
      <c r="E922" s="25" t="str">
        <f>IFERROR(VLOOKUP($B922,テーブル12[],2,FALSE),"")</f>
        <v/>
      </c>
      <c r="F922" s="25" t="str">
        <f>IFERROR(VLOOKUP($B922,テーブル12[],3,FALSE),"")</f>
        <v/>
      </c>
      <c r="G922" s="31" t="str">
        <f>IFERROR(VLOOKUP($B922,テーブル12[],4,FALSE),"")</f>
        <v/>
      </c>
      <c r="H922" s="25" t="str">
        <f t="shared" si="20"/>
        <v/>
      </c>
    </row>
    <row r="923" spans="4:8">
      <c r="D923" s="27" t="str">
        <f>IFERROR(VLOOKUP(A923,テーブル11[],2,FALSE),"")</f>
        <v/>
      </c>
      <c r="E923" s="25" t="str">
        <f>IFERROR(VLOOKUP($B923,テーブル12[],2,FALSE),"")</f>
        <v/>
      </c>
      <c r="F923" s="25" t="str">
        <f>IFERROR(VLOOKUP($B923,テーブル12[],3,FALSE),"")</f>
        <v/>
      </c>
      <c r="G923" s="31" t="str">
        <f>IFERROR(VLOOKUP($B923,テーブル12[],4,FALSE),"")</f>
        <v/>
      </c>
      <c r="H923" s="25" t="str">
        <f t="shared" si="20"/>
        <v/>
      </c>
    </row>
    <row r="924" spans="4:8">
      <c r="D924" s="27" t="str">
        <f>IFERROR(VLOOKUP(A924,テーブル11[],2,FALSE),"")</f>
        <v/>
      </c>
      <c r="E924" s="25" t="str">
        <f>IFERROR(VLOOKUP($B924,テーブル12[],2,FALSE),"")</f>
        <v/>
      </c>
      <c r="F924" s="25" t="str">
        <f>IFERROR(VLOOKUP($B924,テーブル12[],3,FALSE),"")</f>
        <v/>
      </c>
      <c r="G924" s="31" t="str">
        <f>IFERROR(VLOOKUP($B924,テーブル12[],4,FALSE),"")</f>
        <v/>
      </c>
      <c r="H924" s="25" t="str">
        <f t="shared" si="20"/>
        <v/>
      </c>
    </row>
    <row r="925" spans="4:8">
      <c r="D925" s="27" t="str">
        <f>IFERROR(VLOOKUP(A925,テーブル11[],2,FALSE),"")</f>
        <v/>
      </c>
      <c r="E925" s="25" t="str">
        <f>IFERROR(VLOOKUP($B925,テーブル12[],2,FALSE),"")</f>
        <v/>
      </c>
      <c r="F925" s="25" t="str">
        <f>IFERROR(VLOOKUP($B925,テーブル12[],3,FALSE),"")</f>
        <v/>
      </c>
      <c r="G925" s="31" t="str">
        <f>IFERROR(VLOOKUP($B925,テーブル12[],4,FALSE),"")</f>
        <v/>
      </c>
      <c r="H925" s="25" t="str">
        <f t="shared" si="20"/>
        <v/>
      </c>
    </row>
    <row r="926" spans="4:8">
      <c r="D926" s="27" t="str">
        <f>IFERROR(VLOOKUP(A926,テーブル11[],2,FALSE),"")</f>
        <v/>
      </c>
      <c r="E926" s="25" t="str">
        <f>IFERROR(VLOOKUP($B926,テーブル12[],2,FALSE),"")</f>
        <v/>
      </c>
      <c r="F926" s="25" t="str">
        <f>IFERROR(VLOOKUP($B926,テーブル12[],3,FALSE),"")</f>
        <v/>
      </c>
      <c r="G926" s="31" t="str">
        <f>IFERROR(VLOOKUP($B926,テーブル12[],4,FALSE),"")</f>
        <v/>
      </c>
      <c r="H926" s="25" t="str">
        <f t="shared" si="20"/>
        <v/>
      </c>
    </row>
    <row r="927" spans="4:8">
      <c r="D927" s="27" t="str">
        <f>IFERROR(VLOOKUP(A927,テーブル11[],2,FALSE),"")</f>
        <v/>
      </c>
      <c r="E927" s="25" t="str">
        <f>IFERROR(VLOOKUP($B927,テーブル12[],2,FALSE),"")</f>
        <v/>
      </c>
      <c r="F927" s="25" t="str">
        <f>IFERROR(VLOOKUP($B927,テーブル12[],3,FALSE),"")</f>
        <v/>
      </c>
      <c r="G927" s="31" t="str">
        <f>IFERROR(VLOOKUP($B927,テーブル12[],4,FALSE),"")</f>
        <v/>
      </c>
      <c r="H927" s="25" t="str">
        <f t="shared" si="20"/>
        <v/>
      </c>
    </row>
    <row r="928" spans="4:8">
      <c r="D928" s="27" t="str">
        <f>IFERROR(VLOOKUP(A928,テーブル11[],2,FALSE),"")</f>
        <v/>
      </c>
      <c r="E928" s="25" t="str">
        <f>IFERROR(VLOOKUP($B928,テーブル12[],2,FALSE),"")</f>
        <v/>
      </c>
      <c r="F928" s="25" t="str">
        <f>IFERROR(VLOOKUP($B928,テーブル12[],3,FALSE),"")</f>
        <v/>
      </c>
      <c r="G928" s="31" t="str">
        <f>IFERROR(VLOOKUP($B928,テーブル12[],4,FALSE),"")</f>
        <v/>
      </c>
      <c r="H928" s="25" t="str">
        <f t="shared" si="20"/>
        <v/>
      </c>
    </row>
    <row r="929" spans="4:8">
      <c r="D929" s="27" t="str">
        <f>IFERROR(VLOOKUP(A929,テーブル11[],2,FALSE),"")</f>
        <v/>
      </c>
      <c r="E929" s="25" t="str">
        <f>IFERROR(VLOOKUP($B929,テーブル12[],2,FALSE),"")</f>
        <v/>
      </c>
      <c r="F929" s="25" t="str">
        <f>IFERROR(VLOOKUP($B929,テーブル12[],3,FALSE),"")</f>
        <v/>
      </c>
      <c r="G929" s="31" t="str">
        <f>IFERROR(VLOOKUP($B929,テーブル12[],4,FALSE),"")</f>
        <v/>
      </c>
      <c r="H929" s="25" t="str">
        <f t="shared" si="20"/>
        <v/>
      </c>
    </row>
    <row r="930" spans="4:8">
      <c r="D930" s="27" t="str">
        <f>IFERROR(VLOOKUP(A930,テーブル11[],2,FALSE),"")</f>
        <v/>
      </c>
      <c r="E930" s="25" t="str">
        <f>IFERROR(VLOOKUP($B930,テーブル12[],2,FALSE),"")</f>
        <v/>
      </c>
      <c r="F930" s="25" t="str">
        <f>IFERROR(VLOOKUP($B930,テーブル12[],3,FALSE),"")</f>
        <v/>
      </c>
      <c r="G930" s="31" t="str">
        <f>IFERROR(VLOOKUP($B930,テーブル12[],4,FALSE),"")</f>
        <v/>
      </c>
      <c r="H930" s="25" t="str">
        <f t="shared" si="20"/>
        <v/>
      </c>
    </row>
    <row r="931" spans="4:8">
      <c r="D931" s="27" t="str">
        <f>IFERROR(VLOOKUP(A931,テーブル11[],2,FALSE),"")</f>
        <v/>
      </c>
      <c r="E931" s="25" t="str">
        <f>IFERROR(VLOOKUP($B931,テーブル12[],2,FALSE),"")</f>
        <v/>
      </c>
      <c r="F931" s="25" t="str">
        <f>IFERROR(VLOOKUP($B931,テーブル12[],3,FALSE),"")</f>
        <v/>
      </c>
      <c r="G931" s="31" t="str">
        <f>IFERROR(VLOOKUP($B931,テーブル12[],4,FALSE),"")</f>
        <v/>
      </c>
      <c r="H931" s="25" t="str">
        <f t="shared" si="20"/>
        <v/>
      </c>
    </row>
    <row r="932" spans="4:8">
      <c r="D932" s="27" t="str">
        <f>IFERROR(VLOOKUP(A932,テーブル11[],2,FALSE),"")</f>
        <v/>
      </c>
      <c r="E932" s="25" t="str">
        <f>IFERROR(VLOOKUP($B932,テーブル12[],2,FALSE),"")</f>
        <v/>
      </c>
      <c r="F932" s="25" t="str">
        <f>IFERROR(VLOOKUP($B932,テーブル12[],3,FALSE),"")</f>
        <v/>
      </c>
      <c r="G932" s="31" t="str">
        <f>IFERROR(VLOOKUP($B932,テーブル12[],4,FALSE),"")</f>
        <v/>
      </c>
      <c r="H932" s="25" t="str">
        <f t="shared" si="20"/>
        <v/>
      </c>
    </row>
    <row r="933" spans="4:8">
      <c r="D933" s="27" t="str">
        <f>IFERROR(VLOOKUP(A933,テーブル11[],2,FALSE),"")</f>
        <v/>
      </c>
      <c r="E933" s="25" t="str">
        <f>IFERROR(VLOOKUP($B933,テーブル12[],2,FALSE),"")</f>
        <v/>
      </c>
      <c r="F933" s="25" t="str">
        <f>IFERROR(VLOOKUP($B933,テーブル12[],3,FALSE),"")</f>
        <v/>
      </c>
      <c r="G933" s="31" t="str">
        <f>IFERROR(VLOOKUP($B933,テーブル12[],4,FALSE),"")</f>
        <v/>
      </c>
      <c r="H933" s="25" t="str">
        <f t="shared" si="20"/>
        <v/>
      </c>
    </row>
    <row r="934" spans="4:8">
      <c r="D934" s="27" t="str">
        <f>IFERROR(VLOOKUP(A934,テーブル11[],2,FALSE),"")</f>
        <v/>
      </c>
      <c r="E934" s="25" t="str">
        <f>IFERROR(VLOOKUP($B934,テーブル12[],2,FALSE),"")</f>
        <v/>
      </c>
      <c r="F934" s="25" t="str">
        <f>IFERROR(VLOOKUP($B934,テーブル12[],3,FALSE),"")</f>
        <v/>
      </c>
      <c r="G934" s="31" t="str">
        <f>IFERROR(VLOOKUP($B934,テーブル12[],4,FALSE),"")</f>
        <v/>
      </c>
      <c r="H934" s="25" t="str">
        <f t="shared" si="20"/>
        <v/>
      </c>
    </row>
    <row r="935" spans="4:8">
      <c r="D935" s="27" t="str">
        <f>IFERROR(VLOOKUP(A935,テーブル11[],2,FALSE),"")</f>
        <v/>
      </c>
      <c r="E935" s="25" t="str">
        <f>IFERROR(VLOOKUP($B935,テーブル12[],2,FALSE),"")</f>
        <v/>
      </c>
      <c r="F935" s="25" t="str">
        <f>IFERROR(VLOOKUP($B935,テーブル12[],3,FALSE),"")</f>
        <v/>
      </c>
      <c r="G935" s="31" t="str">
        <f>IFERROR(VLOOKUP($B935,テーブル12[],4,FALSE),"")</f>
        <v/>
      </c>
      <c r="H935" s="25" t="str">
        <f t="shared" si="20"/>
        <v/>
      </c>
    </row>
    <row r="936" spans="4:8">
      <c r="D936" s="27" t="str">
        <f>IFERROR(VLOOKUP(A936,テーブル11[],2,FALSE),"")</f>
        <v/>
      </c>
      <c r="E936" s="25" t="str">
        <f>IFERROR(VLOOKUP($B936,テーブル12[],2,FALSE),"")</f>
        <v/>
      </c>
      <c r="F936" s="25" t="str">
        <f>IFERROR(VLOOKUP($B936,テーブル12[],3,FALSE),"")</f>
        <v/>
      </c>
      <c r="G936" s="31" t="str">
        <f>IFERROR(VLOOKUP($B936,テーブル12[],4,FALSE),"")</f>
        <v/>
      </c>
      <c r="H936" s="25" t="str">
        <f t="shared" si="20"/>
        <v/>
      </c>
    </row>
    <row r="937" spans="4:8">
      <c r="D937" s="27" t="str">
        <f>IFERROR(VLOOKUP(A937,テーブル11[],2,FALSE),"")</f>
        <v/>
      </c>
      <c r="E937" s="25" t="str">
        <f>IFERROR(VLOOKUP($B937,テーブル12[],2,FALSE),"")</f>
        <v/>
      </c>
      <c r="F937" s="25" t="str">
        <f>IFERROR(VLOOKUP($B937,テーブル12[],3,FALSE),"")</f>
        <v/>
      </c>
      <c r="G937" s="31" t="str">
        <f>IFERROR(VLOOKUP($B937,テーブル12[],4,FALSE),"")</f>
        <v/>
      </c>
      <c r="H937" s="25" t="str">
        <f t="shared" si="20"/>
        <v/>
      </c>
    </row>
    <row r="938" spans="4:8">
      <c r="D938" s="27" t="str">
        <f>IFERROR(VLOOKUP(A938,テーブル11[],2,FALSE),"")</f>
        <v/>
      </c>
      <c r="E938" s="25" t="str">
        <f>IFERROR(VLOOKUP($B938,テーブル12[],2,FALSE),"")</f>
        <v/>
      </c>
      <c r="F938" s="25" t="str">
        <f>IFERROR(VLOOKUP($B938,テーブル12[],3,FALSE),"")</f>
        <v/>
      </c>
      <c r="G938" s="31" t="str">
        <f>IFERROR(VLOOKUP($B938,テーブル12[],4,FALSE),"")</f>
        <v/>
      </c>
      <c r="H938" s="25" t="str">
        <f t="shared" si="20"/>
        <v/>
      </c>
    </row>
    <row r="939" spans="4:8">
      <c r="D939" s="27" t="str">
        <f>IFERROR(VLOOKUP(A939,テーブル11[],2,FALSE),"")</f>
        <v/>
      </c>
      <c r="E939" s="25" t="str">
        <f>IFERROR(VLOOKUP($B939,テーブル12[],2,FALSE),"")</f>
        <v/>
      </c>
      <c r="F939" s="25" t="str">
        <f>IFERROR(VLOOKUP($B939,テーブル12[],3,FALSE),"")</f>
        <v/>
      </c>
      <c r="G939" s="31" t="str">
        <f>IFERROR(VLOOKUP($B939,テーブル12[],4,FALSE),"")</f>
        <v/>
      </c>
      <c r="H939" s="25" t="str">
        <f t="shared" si="20"/>
        <v/>
      </c>
    </row>
    <row r="940" spans="4:8">
      <c r="D940" s="27" t="str">
        <f>IFERROR(VLOOKUP(A940,テーブル11[],2,FALSE),"")</f>
        <v/>
      </c>
      <c r="E940" s="25" t="str">
        <f>IFERROR(VLOOKUP($B940,テーブル12[],2,FALSE),"")</f>
        <v/>
      </c>
      <c r="F940" s="25" t="str">
        <f>IFERROR(VLOOKUP($B940,テーブル12[],3,FALSE),"")</f>
        <v/>
      </c>
      <c r="G940" s="31" t="str">
        <f>IFERROR(VLOOKUP($B940,テーブル12[],4,FALSE),"")</f>
        <v/>
      </c>
      <c r="H940" s="25" t="str">
        <f t="shared" si="20"/>
        <v/>
      </c>
    </row>
    <row r="941" spans="4:8">
      <c r="D941" s="27" t="str">
        <f>IFERROR(VLOOKUP(A941,テーブル11[],2,FALSE),"")</f>
        <v/>
      </c>
      <c r="E941" s="25" t="str">
        <f>IFERROR(VLOOKUP($B941,テーブル12[],2,FALSE),"")</f>
        <v/>
      </c>
      <c r="F941" s="25" t="str">
        <f>IFERROR(VLOOKUP($B941,テーブル12[],3,FALSE),"")</f>
        <v/>
      </c>
      <c r="G941" s="31" t="str">
        <f>IFERROR(VLOOKUP($B941,テーブル12[],4,FALSE),"")</f>
        <v/>
      </c>
      <c r="H941" s="25" t="str">
        <f t="shared" si="20"/>
        <v/>
      </c>
    </row>
    <row r="942" spans="4:8">
      <c r="D942" s="27" t="str">
        <f>IFERROR(VLOOKUP(A942,テーブル11[],2,FALSE),"")</f>
        <v/>
      </c>
      <c r="E942" s="25" t="str">
        <f>IFERROR(VLOOKUP($B942,テーブル12[],2,FALSE),"")</f>
        <v/>
      </c>
      <c r="F942" s="25" t="str">
        <f>IFERROR(VLOOKUP($B942,テーブル12[],3,FALSE),"")</f>
        <v/>
      </c>
      <c r="G942" s="31" t="str">
        <f>IFERROR(VLOOKUP($B942,テーブル12[],4,FALSE),"")</f>
        <v/>
      </c>
      <c r="H942" s="25" t="str">
        <f t="shared" si="20"/>
        <v/>
      </c>
    </row>
    <row r="943" spans="4:8">
      <c r="D943" s="27" t="str">
        <f>IFERROR(VLOOKUP(A943,テーブル11[],2,FALSE),"")</f>
        <v/>
      </c>
      <c r="E943" s="25" t="str">
        <f>IFERROR(VLOOKUP($B943,テーブル12[],2,FALSE),"")</f>
        <v/>
      </c>
      <c r="F943" s="25" t="str">
        <f>IFERROR(VLOOKUP($B943,テーブル12[],3,FALSE),"")</f>
        <v/>
      </c>
      <c r="G943" s="31" t="str">
        <f>IFERROR(VLOOKUP($B943,テーブル12[],4,FALSE),"")</f>
        <v/>
      </c>
      <c r="H943" s="25" t="str">
        <f t="shared" si="20"/>
        <v/>
      </c>
    </row>
    <row r="944" spans="4:8">
      <c r="D944" s="27" t="str">
        <f>IFERROR(VLOOKUP(A944,テーブル11[],2,FALSE),"")</f>
        <v/>
      </c>
      <c r="E944" s="25" t="str">
        <f>IFERROR(VLOOKUP($B944,テーブル12[],2,FALSE),"")</f>
        <v/>
      </c>
      <c r="F944" s="25" t="str">
        <f>IFERROR(VLOOKUP($B944,テーブル12[],3,FALSE),"")</f>
        <v/>
      </c>
      <c r="G944" s="31" t="str">
        <f>IFERROR(VLOOKUP($B944,テーブル12[],4,FALSE),"")</f>
        <v/>
      </c>
      <c r="H944" s="25" t="str">
        <f t="shared" si="20"/>
        <v/>
      </c>
    </row>
    <row r="945" spans="4:8">
      <c r="D945" s="27" t="str">
        <f>IFERROR(VLOOKUP(A945,テーブル11[],2,FALSE),"")</f>
        <v/>
      </c>
      <c r="E945" s="25" t="str">
        <f>IFERROR(VLOOKUP($B945,テーブル12[],2,FALSE),"")</f>
        <v/>
      </c>
      <c r="F945" s="25" t="str">
        <f>IFERROR(VLOOKUP($B945,テーブル12[],3,FALSE),"")</f>
        <v/>
      </c>
      <c r="G945" s="31" t="str">
        <f>IFERROR(VLOOKUP($B945,テーブル12[],4,FALSE),"")</f>
        <v/>
      </c>
      <c r="H945" s="25" t="str">
        <f t="shared" si="20"/>
        <v/>
      </c>
    </row>
    <row r="946" spans="4:8">
      <c r="D946" s="27" t="str">
        <f>IFERROR(VLOOKUP(A946,テーブル11[],2,FALSE),"")</f>
        <v/>
      </c>
      <c r="E946" s="25" t="str">
        <f>IFERROR(VLOOKUP($B946,テーブル12[],2,FALSE),"")</f>
        <v/>
      </c>
      <c r="F946" s="25" t="str">
        <f>IFERROR(VLOOKUP($B946,テーブル12[],3,FALSE),"")</f>
        <v/>
      </c>
      <c r="G946" s="31" t="str">
        <f>IFERROR(VLOOKUP($B946,テーブル12[],4,FALSE),"")</f>
        <v/>
      </c>
      <c r="H946" s="25" t="str">
        <f t="shared" si="20"/>
        <v/>
      </c>
    </row>
    <row r="947" spans="4:8">
      <c r="D947" s="27" t="str">
        <f>IFERROR(VLOOKUP(A947,テーブル11[],2,FALSE),"")</f>
        <v/>
      </c>
      <c r="E947" s="25" t="str">
        <f>IFERROR(VLOOKUP($B947,テーブル12[],2,FALSE),"")</f>
        <v/>
      </c>
      <c r="F947" s="25" t="str">
        <f>IFERROR(VLOOKUP($B947,テーブル12[],3,FALSE),"")</f>
        <v/>
      </c>
      <c r="G947" s="31" t="str">
        <f>IFERROR(VLOOKUP($B947,テーブル12[],4,FALSE),"")</f>
        <v/>
      </c>
      <c r="H947" s="25" t="str">
        <f t="shared" si="20"/>
        <v/>
      </c>
    </row>
    <row r="948" spans="4:8">
      <c r="D948" s="27" t="str">
        <f>IFERROR(VLOOKUP(A948,テーブル11[],2,FALSE),"")</f>
        <v/>
      </c>
      <c r="E948" s="25" t="str">
        <f>IFERROR(VLOOKUP($B948,テーブル12[],2,FALSE),"")</f>
        <v/>
      </c>
      <c r="F948" s="25" t="str">
        <f>IFERROR(VLOOKUP($B948,テーブル12[],3,FALSE),"")</f>
        <v/>
      </c>
      <c r="G948" s="31" t="str">
        <f>IFERROR(VLOOKUP($B948,テーブル12[],4,FALSE),"")</f>
        <v/>
      </c>
      <c r="H948" s="25" t="str">
        <f t="shared" si="20"/>
        <v/>
      </c>
    </row>
    <row r="949" spans="4:8">
      <c r="D949" s="27" t="str">
        <f>IFERROR(VLOOKUP(A949,テーブル11[],2,FALSE),"")</f>
        <v/>
      </c>
      <c r="E949" s="25" t="str">
        <f>IFERROR(VLOOKUP($B949,テーブル12[],2,FALSE),"")</f>
        <v/>
      </c>
      <c r="F949" s="25" t="str">
        <f>IFERROR(VLOOKUP($B949,テーブル12[],3,FALSE),"")</f>
        <v/>
      </c>
      <c r="G949" s="31" t="str">
        <f>IFERROR(VLOOKUP($B949,テーブル12[],4,FALSE),"")</f>
        <v/>
      </c>
      <c r="H949" s="25" t="str">
        <f t="shared" si="20"/>
        <v/>
      </c>
    </row>
    <row r="950" spans="4:8">
      <c r="D950" s="27" t="str">
        <f>IFERROR(VLOOKUP(A950,テーブル11[],2,FALSE),"")</f>
        <v/>
      </c>
      <c r="E950" s="25" t="str">
        <f>IFERROR(VLOOKUP($B950,テーブル12[],2,FALSE),"")</f>
        <v/>
      </c>
      <c r="F950" s="25" t="str">
        <f>IFERROR(VLOOKUP($B950,テーブル12[],3,FALSE),"")</f>
        <v/>
      </c>
      <c r="G950" s="31" t="str">
        <f>IFERROR(VLOOKUP($B950,テーブル12[],4,FALSE),"")</f>
        <v/>
      </c>
      <c r="H950" s="25" t="str">
        <f t="shared" si="20"/>
        <v/>
      </c>
    </row>
    <row r="951" spans="4:8">
      <c r="D951" s="27" t="str">
        <f>IFERROR(VLOOKUP(A951,テーブル11[],2,FALSE),"")</f>
        <v/>
      </c>
      <c r="E951" s="25" t="str">
        <f>IFERROR(VLOOKUP($B951,テーブル12[],2,FALSE),"")</f>
        <v/>
      </c>
      <c r="F951" s="25" t="str">
        <f>IFERROR(VLOOKUP($B951,テーブル12[],3,FALSE),"")</f>
        <v/>
      </c>
      <c r="G951" s="31" t="str">
        <f>IFERROR(VLOOKUP($B951,テーブル12[],4,FALSE),"")</f>
        <v/>
      </c>
      <c r="H951" s="25" t="str">
        <f t="shared" si="20"/>
        <v/>
      </c>
    </row>
    <row r="952" spans="4:8">
      <c r="D952" s="27" t="str">
        <f>IFERROR(VLOOKUP(A952,テーブル11[],2,FALSE),"")</f>
        <v/>
      </c>
      <c r="E952" s="25" t="str">
        <f>IFERROR(VLOOKUP($B952,テーブル12[],2,FALSE),"")</f>
        <v/>
      </c>
      <c r="F952" s="25" t="str">
        <f>IFERROR(VLOOKUP($B952,テーブル12[],3,FALSE),"")</f>
        <v/>
      </c>
      <c r="G952" s="31" t="str">
        <f>IFERROR(VLOOKUP($B952,テーブル12[],4,FALSE),"")</f>
        <v/>
      </c>
      <c r="H952" s="25" t="str">
        <f t="shared" si="20"/>
        <v/>
      </c>
    </row>
    <row r="953" spans="4:8">
      <c r="D953" s="27" t="str">
        <f>IFERROR(VLOOKUP(A953,テーブル11[],2,FALSE),"")</f>
        <v/>
      </c>
      <c r="E953" s="25" t="str">
        <f>IFERROR(VLOOKUP($B953,テーブル12[],2,FALSE),"")</f>
        <v/>
      </c>
      <c r="F953" s="25" t="str">
        <f>IFERROR(VLOOKUP($B953,テーブル12[],3,FALSE),"")</f>
        <v/>
      </c>
      <c r="G953" s="31" t="str">
        <f>IFERROR(VLOOKUP($B953,テーブル12[],4,FALSE),"")</f>
        <v/>
      </c>
      <c r="H953" s="25" t="str">
        <f t="shared" si="20"/>
        <v/>
      </c>
    </row>
    <row r="954" spans="4:8">
      <c r="D954" s="27" t="str">
        <f>IFERROR(VLOOKUP(A954,テーブル11[],2,FALSE),"")</f>
        <v/>
      </c>
      <c r="E954" s="25" t="str">
        <f>IFERROR(VLOOKUP($B954,テーブル12[],2,FALSE),"")</f>
        <v/>
      </c>
      <c r="F954" s="25" t="str">
        <f>IFERROR(VLOOKUP($B954,テーブル12[],3,FALSE),"")</f>
        <v/>
      </c>
      <c r="G954" s="31" t="str">
        <f>IFERROR(VLOOKUP($B954,テーブル12[],4,FALSE),"")</f>
        <v/>
      </c>
      <c r="H954" s="25" t="str">
        <f t="shared" si="20"/>
        <v/>
      </c>
    </row>
    <row r="955" spans="4:8">
      <c r="D955" s="27" t="str">
        <f>IFERROR(VLOOKUP(A955,テーブル11[],2,FALSE),"")</f>
        <v/>
      </c>
      <c r="E955" s="25" t="str">
        <f>IFERROR(VLOOKUP($B955,テーブル12[],2,FALSE),"")</f>
        <v/>
      </c>
      <c r="F955" s="25" t="str">
        <f>IFERROR(VLOOKUP($B955,テーブル12[],3,FALSE),"")</f>
        <v/>
      </c>
      <c r="G955" s="31" t="str">
        <f>IFERROR(VLOOKUP($B955,テーブル12[],4,FALSE),"")</f>
        <v/>
      </c>
      <c r="H955" s="25" t="str">
        <f t="shared" si="20"/>
        <v/>
      </c>
    </row>
    <row r="956" spans="4:8">
      <c r="D956" s="27" t="str">
        <f>IFERROR(VLOOKUP(A956,テーブル11[],2,FALSE),"")</f>
        <v/>
      </c>
      <c r="E956" s="25" t="str">
        <f>IFERROR(VLOOKUP($B956,テーブル12[],2,FALSE),"")</f>
        <v/>
      </c>
      <c r="F956" s="25" t="str">
        <f>IFERROR(VLOOKUP($B956,テーブル12[],3,FALSE),"")</f>
        <v/>
      </c>
      <c r="G956" s="31" t="str">
        <f>IFERROR(VLOOKUP($B956,テーブル12[],4,FALSE),"")</f>
        <v/>
      </c>
      <c r="H956" s="25" t="str">
        <f t="shared" si="20"/>
        <v/>
      </c>
    </row>
    <row r="957" spans="4:8">
      <c r="D957" s="27" t="str">
        <f>IFERROR(VLOOKUP(A957,テーブル11[],2,FALSE),"")</f>
        <v/>
      </c>
      <c r="E957" s="25" t="str">
        <f>IFERROR(VLOOKUP($B957,テーブル12[],2,FALSE),"")</f>
        <v/>
      </c>
      <c r="F957" s="25" t="str">
        <f>IFERROR(VLOOKUP($B957,テーブル12[],3,FALSE),"")</f>
        <v/>
      </c>
      <c r="G957" s="31" t="str">
        <f>IFERROR(VLOOKUP($B957,テーブル12[],4,FALSE),"")</f>
        <v/>
      </c>
      <c r="H957" s="25" t="str">
        <f t="shared" si="20"/>
        <v/>
      </c>
    </row>
    <row r="958" spans="4:8">
      <c r="D958" s="27" t="str">
        <f>IFERROR(VLOOKUP(A958,テーブル11[],2,FALSE),"")</f>
        <v/>
      </c>
      <c r="E958" s="25" t="str">
        <f>IFERROR(VLOOKUP($B958,テーブル12[],2,FALSE),"")</f>
        <v/>
      </c>
      <c r="F958" s="25" t="str">
        <f>IFERROR(VLOOKUP($B958,テーブル12[],3,FALSE),"")</f>
        <v/>
      </c>
      <c r="G958" s="31" t="str">
        <f>IFERROR(VLOOKUP($B958,テーブル12[],4,FALSE),"")</f>
        <v/>
      </c>
      <c r="H958" s="25" t="str">
        <f t="shared" si="20"/>
        <v/>
      </c>
    </row>
    <row r="959" spans="4:8">
      <c r="D959" s="27" t="str">
        <f>IFERROR(VLOOKUP(A959,テーブル11[],2,FALSE),"")</f>
        <v/>
      </c>
      <c r="E959" s="25" t="str">
        <f>IFERROR(VLOOKUP($B959,テーブル12[],2,FALSE),"")</f>
        <v/>
      </c>
      <c r="F959" s="25" t="str">
        <f>IFERROR(VLOOKUP($B959,テーブル12[],3,FALSE),"")</f>
        <v/>
      </c>
      <c r="G959" s="31" t="str">
        <f>IFERROR(VLOOKUP($B959,テーブル12[],4,FALSE),"")</f>
        <v/>
      </c>
      <c r="H959" s="25" t="str">
        <f t="shared" si="20"/>
        <v/>
      </c>
    </row>
    <row r="960" spans="4:8">
      <c r="D960" s="27" t="str">
        <f>IFERROR(VLOOKUP(A960,テーブル11[],2,FALSE),"")</f>
        <v/>
      </c>
      <c r="E960" s="25" t="str">
        <f>IFERROR(VLOOKUP($B960,テーブル12[],2,FALSE),"")</f>
        <v/>
      </c>
      <c r="F960" s="25" t="str">
        <f>IFERROR(VLOOKUP($B960,テーブル12[],3,FALSE),"")</f>
        <v/>
      </c>
      <c r="G960" s="31" t="str">
        <f>IFERROR(VLOOKUP($B960,テーブル12[],4,FALSE),"")</f>
        <v/>
      </c>
      <c r="H960" s="25" t="str">
        <f t="shared" si="20"/>
        <v/>
      </c>
    </row>
    <row r="961" spans="4:8">
      <c r="D961" s="27" t="str">
        <f>IFERROR(VLOOKUP(A961,テーブル11[],2,FALSE),"")</f>
        <v/>
      </c>
      <c r="E961" s="25" t="str">
        <f>IFERROR(VLOOKUP($B961,テーブル12[],2,FALSE),"")</f>
        <v/>
      </c>
      <c r="F961" s="25" t="str">
        <f>IFERROR(VLOOKUP($B961,テーブル12[],3,FALSE),"")</f>
        <v/>
      </c>
      <c r="G961" s="31" t="str">
        <f>IFERROR(VLOOKUP($B961,テーブル12[],4,FALSE),"")</f>
        <v/>
      </c>
      <c r="H961" s="25" t="str">
        <f t="shared" si="20"/>
        <v/>
      </c>
    </row>
    <row r="962" spans="4:8">
      <c r="D962" s="27" t="str">
        <f>IFERROR(VLOOKUP(A962,テーブル11[],2,FALSE),"")</f>
        <v/>
      </c>
      <c r="E962" s="25" t="str">
        <f>IFERROR(VLOOKUP($B962,テーブル12[],2,FALSE),"")</f>
        <v/>
      </c>
      <c r="F962" s="25" t="str">
        <f>IFERROR(VLOOKUP($B962,テーブル12[],3,FALSE),"")</f>
        <v/>
      </c>
      <c r="G962" s="31" t="str">
        <f>IFERROR(VLOOKUP($B962,テーブル12[],4,FALSE),"")</f>
        <v/>
      </c>
      <c r="H962" s="25" t="str">
        <f t="shared" ref="H962:H1025" si="21">IF(C962=0,"",C962)</f>
        <v/>
      </c>
    </row>
    <row r="963" spans="4:8">
      <c r="D963" s="27" t="str">
        <f>IFERROR(VLOOKUP(A963,テーブル11[],2,FALSE),"")</f>
        <v/>
      </c>
      <c r="E963" s="25" t="str">
        <f>IFERROR(VLOOKUP($B963,テーブル12[],2,FALSE),"")</f>
        <v/>
      </c>
      <c r="F963" s="25" t="str">
        <f>IFERROR(VLOOKUP($B963,テーブル12[],3,FALSE),"")</f>
        <v/>
      </c>
      <c r="G963" s="31" t="str">
        <f>IFERROR(VLOOKUP($B963,テーブル12[],4,FALSE),"")</f>
        <v/>
      </c>
      <c r="H963" s="25" t="str">
        <f t="shared" si="21"/>
        <v/>
      </c>
    </row>
    <row r="964" spans="4:8">
      <c r="D964" s="27" t="str">
        <f>IFERROR(VLOOKUP(A964,テーブル11[],2,FALSE),"")</f>
        <v/>
      </c>
      <c r="E964" s="25" t="str">
        <f>IFERROR(VLOOKUP($B964,テーブル12[],2,FALSE),"")</f>
        <v/>
      </c>
      <c r="F964" s="25" t="str">
        <f>IFERROR(VLOOKUP($B964,テーブル12[],3,FALSE),"")</f>
        <v/>
      </c>
      <c r="G964" s="31" t="str">
        <f>IFERROR(VLOOKUP($B964,テーブル12[],4,FALSE),"")</f>
        <v/>
      </c>
      <c r="H964" s="25" t="str">
        <f t="shared" si="21"/>
        <v/>
      </c>
    </row>
    <row r="965" spans="4:8">
      <c r="D965" s="27" t="str">
        <f>IFERROR(VLOOKUP(A965,テーブル11[],2,FALSE),"")</f>
        <v/>
      </c>
      <c r="E965" s="25" t="str">
        <f>IFERROR(VLOOKUP($B965,テーブル12[],2,FALSE),"")</f>
        <v/>
      </c>
      <c r="F965" s="25" t="str">
        <f>IFERROR(VLOOKUP($B965,テーブル12[],3,FALSE),"")</f>
        <v/>
      </c>
      <c r="G965" s="31" t="str">
        <f>IFERROR(VLOOKUP($B965,テーブル12[],4,FALSE),"")</f>
        <v/>
      </c>
      <c r="H965" s="25" t="str">
        <f t="shared" si="21"/>
        <v/>
      </c>
    </row>
    <row r="966" spans="4:8">
      <c r="D966" s="27" t="str">
        <f>IFERROR(VLOOKUP(A966,テーブル11[],2,FALSE),"")</f>
        <v/>
      </c>
      <c r="E966" s="25" t="str">
        <f>IFERROR(VLOOKUP($B966,テーブル12[],2,FALSE),"")</f>
        <v/>
      </c>
      <c r="F966" s="25" t="str">
        <f>IFERROR(VLOOKUP($B966,テーブル12[],3,FALSE),"")</f>
        <v/>
      </c>
      <c r="G966" s="31" t="str">
        <f>IFERROR(VLOOKUP($B966,テーブル12[],4,FALSE),"")</f>
        <v/>
      </c>
      <c r="H966" s="25" t="str">
        <f t="shared" si="21"/>
        <v/>
      </c>
    </row>
    <row r="967" spans="4:8">
      <c r="D967" s="27" t="str">
        <f>IFERROR(VLOOKUP(A967,テーブル11[],2,FALSE),"")</f>
        <v/>
      </c>
      <c r="E967" s="25" t="str">
        <f>IFERROR(VLOOKUP($B967,テーブル12[],2,FALSE),"")</f>
        <v/>
      </c>
      <c r="F967" s="25" t="str">
        <f>IFERROR(VLOOKUP($B967,テーブル12[],3,FALSE),"")</f>
        <v/>
      </c>
      <c r="G967" s="31" t="str">
        <f>IFERROR(VLOOKUP($B967,テーブル12[],4,FALSE),"")</f>
        <v/>
      </c>
      <c r="H967" s="25" t="str">
        <f t="shared" si="21"/>
        <v/>
      </c>
    </row>
    <row r="968" spans="4:8">
      <c r="D968" s="27" t="str">
        <f>IFERROR(VLOOKUP(A968,テーブル11[],2,FALSE),"")</f>
        <v/>
      </c>
      <c r="E968" s="25" t="str">
        <f>IFERROR(VLOOKUP($B968,テーブル12[],2,FALSE),"")</f>
        <v/>
      </c>
      <c r="F968" s="25" t="str">
        <f>IFERROR(VLOOKUP($B968,テーブル12[],3,FALSE),"")</f>
        <v/>
      </c>
      <c r="G968" s="31" t="str">
        <f>IFERROR(VLOOKUP($B968,テーブル12[],4,FALSE),"")</f>
        <v/>
      </c>
      <c r="H968" s="25" t="str">
        <f t="shared" si="21"/>
        <v/>
      </c>
    </row>
    <row r="969" spans="4:8">
      <c r="D969" s="27" t="str">
        <f>IFERROR(VLOOKUP(A969,テーブル11[],2,FALSE),"")</f>
        <v/>
      </c>
      <c r="E969" s="25" t="str">
        <f>IFERROR(VLOOKUP($B969,テーブル12[],2,FALSE),"")</f>
        <v/>
      </c>
      <c r="F969" s="25" t="str">
        <f>IFERROR(VLOOKUP($B969,テーブル12[],3,FALSE),"")</f>
        <v/>
      </c>
      <c r="G969" s="31" t="str">
        <f>IFERROR(VLOOKUP($B969,テーブル12[],4,FALSE),"")</f>
        <v/>
      </c>
      <c r="H969" s="25" t="str">
        <f t="shared" si="21"/>
        <v/>
      </c>
    </row>
    <row r="970" spans="4:8">
      <c r="D970" s="27" t="str">
        <f>IFERROR(VLOOKUP(A970,テーブル11[],2,FALSE),"")</f>
        <v/>
      </c>
      <c r="E970" s="25" t="str">
        <f>IFERROR(VLOOKUP($B970,テーブル12[],2,FALSE),"")</f>
        <v/>
      </c>
      <c r="F970" s="25" t="str">
        <f>IFERROR(VLOOKUP($B970,テーブル12[],3,FALSE),"")</f>
        <v/>
      </c>
      <c r="G970" s="31" t="str">
        <f>IFERROR(VLOOKUP($B970,テーブル12[],4,FALSE),"")</f>
        <v/>
      </c>
      <c r="H970" s="25" t="str">
        <f t="shared" si="21"/>
        <v/>
      </c>
    </row>
    <row r="971" spans="4:8">
      <c r="D971" s="27" t="str">
        <f>IFERROR(VLOOKUP(A971,テーブル11[],2,FALSE),"")</f>
        <v/>
      </c>
      <c r="E971" s="25" t="str">
        <f>IFERROR(VLOOKUP($B971,テーブル12[],2,FALSE),"")</f>
        <v/>
      </c>
      <c r="F971" s="25" t="str">
        <f>IFERROR(VLOOKUP($B971,テーブル12[],3,FALSE),"")</f>
        <v/>
      </c>
      <c r="G971" s="31" t="str">
        <f>IFERROR(VLOOKUP($B971,テーブル12[],4,FALSE),"")</f>
        <v/>
      </c>
      <c r="H971" s="25" t="str">
        <f t="shared" si="21"/>
        <v/>
      </c>
    </row>
    <row r="972" spans="4:8">
      <c r="D972" s="27" t="str">
        <f>IFERROR(VLOOKUP(A972,テーブル11[],2,FALSE),"")</f>
        <v/>
      </c>
      <c r="E972" s="25" t="str">
        <f>IFERROR(VLOOKUP($B972,テーブル12[],2,FALSE),"")</f>
        <v/>
      </c>
      <c r="F972" s="25" t="str">
        <f>IFERROR(VLOOKUP($B972,テーブル12[],3,FALSE),"")</f>
        <v/>
      </c>
      <c r="G972" s="31" t="str">
        <f>IFERROR(VLOOKUP($B972,テーブル12[],4,FALSE),"")</f>
        <v/>
      </c>
      <c r="H972" s="25" t="str">
        <f t="shared" si="21"/>
        <v/>
      </c>
    </row>
    <row r="973" spans="4:8">
      <c r="D973" s="27" t="str">
        <f>IFERROR(VLOOKUP(A973,テーブル11[],2,FALSE),"")</f>
        <v/>
      </c>
      <c r="E973" s="25" t="str">
        <f>IFERROR(VLOOKUP($B973,テーブル12[],2,FALSE),"")</f>
        <v/>
      </c>
      <c r="F973" s="25" t="str">
        <f>IFERROR(VLOOKUP($B973,テーブル12[],3,FALSE),"")</f>
        <v/>
      </c>
      <c r="G973" s="31" t="str">
        <f>IFERROR(VLOOKUP($B973,テーブル12[],4,FALSE),"")</f>
        <v/>
      </c>
      <c r="H973" s="25" t="str">
        <f t="shared" si="21"/>
        <v/>
      </c>
    </row>
    <row r="974" spans="4:8">
      <c r="D974" s="27" t="str">
        <f>IFERROR(VLOOKUP(A974,テーブル11[],2,FALSE),"")</f>
        <v/>
      </c>
      <c r="E974" s="25" t="str">
        <f>IFERROR(VLOOKUP($B974,テーブル12[],2,FALSE),"")</f>
        <v/>
      </c>
      <c r="F974" s="25" t="str">
        <f>IFERROR(VLOOKUP($B974,テーブル12[],3,FALSE),"")</f>
        <v/>
      </c>
      <c r="G974" s="31" t="str">
        <f>IFERROR(VLOOKUP($B974,テーブル12[],4,FALSE),"")</f>
        <v/>
      </c>
      <c r="H974" s="25" t="str">
        <f t="shared" si="21"/>
        <v/>
      </c>
    </row>
    <row r="975" spans="4:8">
      <c r="D975" s="27" t="str">
        <f>IFERROR(VLOOKUP(A975,テーブル11[],2,FALSE),"")</f>
        <v/>
      </c>
      <c r="E975" s="25" t="str">
        <f>IFERROR(VLOOKUP($B975,テーブル12[],2,FALSE),"")</f>
        <v/>
      </c>
      <c r="F975" s="25" t="str">
        <f>IFERROR(VLOOKUP($B975,テーブル12[],3,FALSE),"")</f>
        <v/>
      </c>
      <c r="G975" s="31" t="str">
        <f>IFERROR(VLOOKUP($B975,テーブル12[],4,FALSE),"")</f>
        <v/>
      </c>
      <c r="H975" s="25" t="str">
        <f t="shared" si="21"/>
        <v/>
      </c>
    </row>
    <row r="976" spans="4:8">
      <c r="D976" s="27" t="str">
        <f>IFERROR(VLOOKUP(A976,テーブル11[],2,FALSE),"")</f>
        <v/>
      </c>
      <c r="E976" s="25" t="str">
        <f>IFERROR(VLOOKUP($B976,テーブル12[],2,FALSE),"")</f>
        <v/>
      </c>
      <c r="F976" s="25" t="str">
        <f>IFERROR(VLOOKUP($B976,テーブル12[],3,FALSE),"")</f>
        <v/>
      </c>
      <c r="G976" s="31" t="str">
        <f>IFERROR(VLOOKUP($B976,テーブル12[],4,FALSE),"")</f>
        <v/>
      </c>
      <c r="H976" s="25" t="str">
        <f t="shared" si="21"/>
        <v/>
      </c>
    </row>
    <row r="977" spans="4:8">
      <c r="D977" s="27" t="str">
        <f>IFERROR(VLOOKUP(A977,テーブル11[],2,FALSE),"")</f>
        <v/>
      </c>
      <c r="E977" s="25" t="str">
        <f>IFERROR(VLOOKUP($B977,テーブル12[],2,FALSE),"")</f>
        <v/>
      </c>
      <c r="F977" s="25" t="str">
        <f>IFERROR(VLOOKUP($B977,テーブル12[],3,FALSE),"")</f>
        <v/>
      </c>
      <c r="G977" s="31" t="str">
        <f>IFERROR(VLOOKUP($B977,テーブル12[],4,FALSE),"")</f>
        <v/>
      </c>
      <c r="H977" s="25" t="str">
        <f t="shared" si="21"/>
        <v/>
      </c>
    </row>
    <row r="978" spans="4:8">
      <c r="D978" s="27" t="str">
        <f>IFERROR(VLOOKUP(A978,テーブル11[],2,FALSE),"")</f>
        <v/>
      </c>
      <c r="E978" s="25" t="str">
        <f>IFERROR(VLOOKUP($B978,テーブル12[],2,FALSE),"")</f>
        <v/>
      </c>
      <c r="F978" s="25" t="str">
        <f>IFERROR(VLOOKUP($B978,テーブル12[],3,FALSE),"")</f>
        <v/>
      </c>
      <c r="G978" s="31" t="str">
        <f>IFERROR(VLOOKUP($B978,テーブル12[],4,FALSE),"")</f>
        <v/>
      </c>
      <c r="H978" s="25" t="str">
        <f t="shared" si="21"/>
        <v/>
      </c>
    </row>
    <row r="979" spans="4:8">
      <c r="D979" s="27" t="str">
        <f>IFERROR(VLOOKUP(A979,テーブル11[],2,FALSE),"")</f>
        <v/>
      </c>
      <c r="E979" s="25" t="str">
        <f>IFERROR(VLOOKUP($B979,テーブル12[],2,FALSE),"")</f>
        <v/>
      </c>
      <c r="F979" s="25" t="str">
        <f>IFERROR(VLOOKUP($B979,テーブル12[],3,FALSE),"")</f>
        <v/>
      </c>
      <c r="G979" s="31" t="str">
        <f>IFERROR(VLOOKUP($B979,テーブル12[],4,FALSE),"")</f>
        <v/>
      </c>
      <c r="H979" s="25" t="str">
        <f t="shared" si="21"/>
        <v/>
      </c>
    </row>
    <row r="980" spans="4:8">
      <c r="D980" s="27" t="str">
        <f>IFERROR(VLOOKUP(A980,テーブル11[],2,FALSE),"")</f>
        <v/>
      </c>
      <c r="E980" s="25" t="str">
        <f>IFERROR(VLOOKUP($B980,テーブル12[],2,FALSE),"")</f>
        <v/>
      </c>
      <c r="F980" s="25" t="str">
        <f>IFERROR(VLOOKUP($B980,テーブル12[],3,FALSE),"")</f>
        <v/>
      </c>
      <c r="G980" s="31" t="str">
        <f>IFERROR(VLOOKUP($B980,テーブル12[],4,FALSE),"")</f>
        <v/>
      </c>
      <c r="H980" s="25" t="str">
        <f t="shared" si="21"/>
        <v/>
      </c>
    </row>
    <row r="981" spans="4:8">
      <c r="D981" s="27" t="str">
        <f>IFERROR(VLOOKUP(A981,テーブル11[],2,FALSE),"")</f>
        <v/>
      </c>
      <c r="E981" s="25" t="str">
        <f>IFERROR(VLOOKUP($B981,テーブル12[],2,FALSE),"")</f>
        <v/>
      </c>
      <c r="F981" s="25" t="str">
        <f>IFERROR(VLOOKUP($B981,テーブル12[],3,FALSE),"")</f>
        <v/>
      </c>
      <c r="G981" s="31" t="str">
        <f>IFERROR(VLOOKUP($B981,テーブル12[],4,FALSE),"")</f>
        <v/>
      </c>
      <c r="H981" s="25" t="str">
        <f t="shared" si="21"/>
        <v/>
      </c>
    </row>
    <row r="982" spans="4:8">
      <c r="D982" s="27" t="str">
        <f>IFERROR(VLOOKUP(A982,テーブル11[],2,FALSE),"")</f>
        <v/>
      </c>
      <c r="E982" s="25" t="str">
        <f>IFERROR(VLOOKUP($B982,テーブル12[],2,FALSE),"")</f>
        <v/>
      </c>
      <c r="F982" s="25" t="str">
        <f>IFERROR(VLOOKUP($B982,テーブル12[],3,FALSE),"")</f>
        <v/>
      </c>
      <c r="G982" s="31" t="str">
        <f>IFERROR(VLOOKUP($B982,テーブル12[],4,FALSE),"")</f>
        <v/>
      </c>
      <c r="H982" s="25" t="str">
        <f t="shared" si="21"/>
        <v/>
      </c>
    </row>
    <row r="983" spans="4:8">
      <c r="D983" s="27" t="str">
        <f>IFERROR(VLOOKUP(A983,テーブル11[],2,FALSE),"")</f>
        <v/>
      </c>
      <c r="E983" s="25" t="str">
        <f>IFERROR(VLOOKUP($B983,テーブル12[],2,FALSE),"")</f>
        <v/>
      </c>
      <c r="F983" s="25" t="str">
        <f>IFERROR(VLOOKUP($B983,テーブル12[],3,FALSE),"")</f>
        <v/>
      </c>
      <c r="G983" s="31" t="str">
        <f>IFERROR(VLOOKUP($B983,テーブル12[],4,FALSE),"")</f>
        <v/>
      </c>
      <c r="H983" s="25" t="str">
        <f t="shared" si="21"/>
        <v/>
      </c>
    </row>
    <row r="984" spans="4:8">
      <c r="D984" s="27" t="str">
        <f>IFERROR(VLOOKUP(A984,テーブル11[],2,FALSE),"")</f>
        <v/>
      </c>
      <c r="E984" s="25" t="str">
        <f>IFERROR(VLOOKUP($B984,テーブル12[],2,FALSE),"")</f>
        <v/>
      </c>
      <c r="F984" s="25" t="str">
        <f>IFERROR(VLOOKUP($B984,テーブル12[],3,FALSE),"")</f>
        <v/>
      </c>
      <c r="G984" s="31" t="str">
        <f>IFERROR(VLOOKUP($B984,テーブル12[],4,FALSE),"")</f>
        <v/>
      </c>
      <c r="H984" s="25" t="str">
        <f t="shared" si="21"/>
        <v/>
      </c>
    </row>
    <row r="985" spans="4:8">
      <c r="D985" s="27" t="str">
        <f>IFERROR(VLOOKUP(A985,テーブル11[],2,FALSE),"")</f>
        <v/>
      </c>
      <c r="E985" s="25" t="str">
        <f>IFERROR(VLOOKUP($B985,テーブル12[],2,FALSE),"")</f>
        <v/>
      </c>
      <c r="F985" s="25" t="str">
        <f>IFERROR(VLOOKUP($B985,テーブル12[],3,FALSE),"")</f>
        <v/>
      </c>
      <c r="G985" s="31" t="str">
        <f>IFERROR(VLOOKUP($B985,テーブル12[],4,FALSE),"")</f>
        <v/>
      </c>
      <c r="H985" s="25" t="str">
        <f t="shared" si="21"/>
        <v/>
      </c>
    </row>
    <row r="986" spans="4:8">
      <c r="D986" s="27" t="str">
        <f>IFERROR(VLOOKUP(A986,テーブル11[],2,FALSE),"")</f>
        <v/>
      </c>
      <c r="E986" s="25" t="str">
        <f>IFERROR(VLOOKUP($B986,テーブル12[],2,FALSE),"")</f>
        <v/>
      </c>
      <c r="F986" s="25" t="str">
        <f>IFERROR(VLOOKUP($B986,テーブル12[],3,FALSE),"")</f>
        <v/>
      </c>
      <c r="G986" s="31" t="str">
        <f>IFERROR(VLOOKUP($B986,テーブル12[],4,FALSE),"")</f>
        <v/>
      </c>
      <c r="H986" s="25" t="str">
        <f t="shared" si="21"/>
        <v/>
      </c>
    </row>
    <row r="987" spans="4:8">
      <c r="D987" s="27" t="str">
        <f>IFERROR(VLOOKUP(A987,テーブル11[],2,FALSE),"")</f>
        <v/>
      </c>
      <c r="E987" s="25" t="str">
        <f>IFERROR(VLOOKUP($B987,テーブル12[],2,FALSE),"")</f>
        <v/>
      </c>
      <c r="F987" s="25" t="str">
        <f>IFERROR(VLOOKUP($B987,テーブル12[],3,FALSE),"")</f>
        <v/>
      </c>
      <c r="G987" s="31" t="str">
        <f>IFERROR(VLOOKUP($B987,テーブル12[],4,FALSE),"")</f>
        <v/>
      </c>
      <c r="H987" s="25" t="str">
        <f t="shared" si="21"/>
        <v/>
      </c>
    </row>
    <row r="988" spans="4:8">
      <c r="D988" s="27" t="str">
        <f>IFERROR(VLOOKUP(A988,テーブル11[],2,FALSE),"")</f>
        <v/>
      </c>
      <c r="E988" s="25" t="str">
        <f>IFERROR(VLOOKUP($B988,テーブル12[],2,FALSE),"")</f>
        <v/>
      </c>
      <c r="F988" s="25" t="str">
        <f>IFERROR(VLOOKUP($B988,テーブル12[],3,FALSE),"")</f>
        <v/>
      </c>
      <c r="G988" s="31" t="str">
        <f>IFERROR(VLOOKUP($B988,テーブル12[],4,FALSE),"")</f>
        <v/>
      </c>
      <c r="H988" s="25" t="str">
        <f t="shared" si="21"/>
        <v/>
      </c>
    </row>
    <row r="989" spans="4:8">
      <c r="D989" s="27" t="str">
        <f>IFERROR(VLOOKUP(A989,テーブル11[],2,FALSE),"")</f>
        <v/>
      </c>
      <c r="E989" s="25" t="str">
        <f>IFERROR(VLOOKUP($B989,テーブル12[],2,FALSE),"")</f>
        <v/>
      </c>
      <c r="F989" s="25" t="str">
        <f>IFERROR(VLOOKUP($B989,テーブル12[],3,FALSE),"")</f>
        <v/>
      </c>
      <c r="G989" s="31" t="str">
        <f>IFERROR(VLOOKUP($B989,テーブル12[],4,FALSE),"")</f>
        <v/>
      </c>
      <c r="H989" s="25" t="str">
        <f t="shared" si="21"/>
        <v/>
      </c>
    </row>
    <row r="990" spans="4:8">
      <c r="D990" s="27" t="str">
        <f>IFERROR(VLOOKUP(A990,テーブル11[],2,FALSE),"")</f>
        <v/>
      </c>
      <c r="E990" s="25" t="str">
        <f>IFERROR(VLOOKUP($B990,テーブル12[],2,FALSE),"")</f>
        <v/>
      </c>
      <c r="F990" s="25" t="str">
        <f>IFERROR(VLOOKUP($B990,テーブル12[],3,FALSE),"")</f>
        <v/>
      </c>
      <c r="G990" s="31" t="str">
        <f>IFERROR(VLOOKUP($B990,テーブル12[],4,FALSE),"")</f>
        <v/>
      </c>
      <c r="H990" s="25" t="str">
        <f t="shared" si="21"/>
        <v/>
      </c>
    </row>
    <row r="991" spans="4:8">
      <c r="D991" s="27" t="str">
        <f>IFERROR(VLOOKUP(A991,テーブル11[],2,FALSE),"")</f>
        <v/>
      </c>
      <c r="E991" s="25" t="str">
        <f>IFERROR(VLOOKUP($B991,テーブル12[],2,FALSE),"")</f>
        <v/>
      </c>
      <c r="F991" s="25" t="str">
        <f>IFERROR(VLOOKUP($B991,テーブル12[],3,FALSE),"")</f>
        <v/>
      </c>
      <c r="G991" s="31" t="str">
        <f>IFERROR(VLOOKUP($B991,テーブル12[],4,FALSE),"")</f>
        <v/>
      </c>
      <c r="H991" s="25" t="str">
        <f t="shared" si="21"/>
        <v/>
      </c>
    </row>
    <row r="992" spans="4:8">
      <c r="D992" s="27" t="str">
        <f>IFERROR(VLOOKUP(A992,テーブル11[],2,FALSE),"")</f>
        <v/>
      </c>
      <c r="E992" s="25" t="str">
        <f>IFERROR(VLOOKUP($B992,テーブル12[],2,FALSE),"")</f>
        <v/>
      </c>
      <c r="F992" s="25" t="str">
        <f>IFERROR(VLOOKUP($B992,テーブル12[],3,FALSE),"")</f>
        <v/>
      </c>
      <c r="G992" s="31" t="str">
        <f>IFERROR(VLOOKUP($B992,テーブル12[],4,FALSE),"")</f>
        <v/>
      </c>
      <c r="H992" s="25" t="str">
        <f t="shared" si="21"/>
        <v/>
      </c>
    </row>
    <row r="993" spans="4:8">
      <c r="D993" s="27" t="str">
        <f>IFERROR(VLOOKUP(A993,テーブル11[],2,FALSE),"")</f>
        <v/>
      </c>
      <c r="E993" s="25" t="str">
        <f>IFERROR(VLOOKUP($B993,テーブル12[],2,FALSE),"")</f>
        <v/>
      </c>
      <c r="F993" s="25" t="str">
        <f>IFERROR(VLOOKUP($B993,テーブル12[],3,FALSE),"")</f>
        <v/>
      </c>
      <c r="G993" s="31" t="str">
        <f>IFERROR(VLOOKUP($B993,テーブル12[],4,FALSE),"")</f>
        <v/>
      </c>
      <c r="H993" s="25" t="str">
        <f t="shared" si="21"/>
        <v/>
      </c>
    </row>
    <row r="994" spans="4:8">
      <c r="D994" s="27" t="str">
        <f>IFERROR(VLOOKUP(A994,テーブル11[],2,FALSE),"")</f>
        <v/>
      </c>
      <c r="E994" s="25" t="str">
        <f>IFERROR(VLOOKUP($B994,テーブル12[],2,FALSE),"")</f>
        <v/>
      </c>
      <c r="F994" s="25" t="str">
        <f>IFERROR(VLOOKUP($B994,テーブル12[],3,FALSE),"")</f>
        <v/>
      </c>
      <c r="G994" s="31" t="str">
        <f>IFERROR(VLOOKUP($B994,テーブル12[],4,FALSE),"")</f>
        <v/>
      </c>
      <c r="H994" s="25" t="str">
        <f t="shared" si="21"/>
        <v/>
      </c>
    </row>
    <row r="995" spans="4:8">
      <c r="D995" s="27" t="str">
        <f>IFERROR(VLOOKUP(A995,テーブル11[],2,FALSE),"")</f>
        <v/>
      </c>
      <c r="E995" s="25" t="str">
        <f>IFERROR(VLOOKUP($B995,テーブル12[],2,FALSE),"")</f>
        <v/>
      </c>
      <c r="F995" s="25" t="str">
        <f>IFERROR(VLOOKUP($B995,テーブル12[],3,FALSE),"")</f>
        <v/>
      </c>
      <c r="G995" s="31" t="str">
        <f>IFERROR(VLOOKUP($B995,テーブル12[],4,FALSE),"")</f>
        <v/>
      </c>
      <c r="H995" s="25" t="str">
        <f t="shared" si="21"/>
        <v/>
      </c>
    </row>
    <row r="996" spans="4:8">
      <c r="D996" s="27" t="str">
        <f>IFERROR(VLOOKUP(A996,テーブル11[],2,FALSE),"")</f>
        <v/>
      </c>
      <c r="E996" s="25" t="str">
        <f>IFERROR(VLOOKUP($B996,テーブル12[],2,FALSE),"")</f>
        <v/>
      </c>
      <c r="F996" s="25" t="str">
        <f>IFERROR(VLOOKUP($B996,テーブル12[],3,FALSE),"")</f>
        <v/>
      </c>
      <c r="G996" s="31" t="str">
        <f>IFERROR(VLOOKUP($B996,テーブル12[],4,FALSE),"")</f>
        <v/>
      </c>
      <c r="H996" s="25" t="str">
        <f t="shared" si="21"/>
        <v/>
      </c>
    </row>
    <row r="997" spans="4:8">
      <c r="D997" s="27" t="str">
        <f>IFERROR(VLOOKUP(A997,テーブル11[],2,FALSE),"")</f>
        <v/>
      </c>
      <c r="E997" s="25" t="str">
        <f>IFERROR(VLOOKUP($B997,テーブル12[],2,FALSE),"")</f>
        <v/>
      </c>
      <c r="F997" s="25" t="str">
        <f>IFERROR(VLOOKUP($B997,テーブル12[],3,FALSE),"")</f>
        <v/>
      </c>
      <c r="G997" s="31" t="str">
        <f>IFERROR(VLOOKUP($B997,テーブル12[],4,FALSE),"")</f>
        <v/>
      </c>
      <c r="H997" s="25" t="str">
        <f t="shared" si="21"/>
        <v/>
      </c>
    </row>
    <row r="998" spans="4:8">
      <c r="D998" s="27" t="str">
        <f>IFERROR(VLOOKUP(A998,テーブル11[],2,FALSE),"")</f>
        <v/>
      </c>
      <c r="E998" s="25" t="str">
        <f>IFERROR(VLOOKUP($B998,テーブル12[],2,FALSE),"")</f>
        <v/>
      </c>
      <c r="F998" s="25" t="str">
        <f>IFERROR(VLOOKUP($B998,テーブル12[],3,FALSE),"")</f>
        <v/>
      </c>
      <c r="G998" s="31" t="str">
        <f>IFERROR(VLOOKUP($B998,テーブル12[],4,FALSE),"")</f>
        <v/>
      </c>
      <c r="H998" s="25" t="str">
        <f t="shared" si="21"/>
        <v/>
      </c>
    </row>
    <row r="999" spans="4:8">
      <c r="D999" s="27" t="str">
        <f>IFERROR(VLOOKUP(A999,テーブル11[],2,FALSE),"")</f>
        <v/>
      </c>
      <c r="E999" s="25" t="str">
        <f>IFERROR(VLOOKUP($B999,テーブル12[],2,FALSE),"")</f>
        <v/>
      </c>
      <c r="F999" s="25" t="str">
        <f>IFERROR(VLOOKUP($B999,テーブル12[],3,FALSE),"")</f>
        <v/>
      </c>
      <c r="G999" s="31" t="str">
        <f>IFERROR(VLOOKUP($B999,テーブル12[],4,FALSE),"")</f>
        <v/>
      </c>
      <c r="H999" s="25" t="str">
        <f t="shared" si="21"/>
        <v/>
      </c>
    </row>
    <row r="1000" spans="4:8">
      <c r="D1000" s="27" t="str">
        <f>IFERROR(VLOOKUP(A1000,テーブル11[],2,FALSE),"")</f>
        <v/>
      </c>
      <c r="E1000" s="25" t="str">
        <f>IFERROR(VLOOKUP($B1000,テーブル12[],2,FALSE),"")</f>
        <v/>
      </c>
      <c r="F1000" s="25" t="str">
        <f>IFERROR(VLOOKUP($B1000,テーブル12[],3,FALSE),"")</f>
        <v/>
      </c>
      <c r="G1000" s="31" t="str">
        <f>IFERROR(VLOOKUP($B1000,テーブル12[],4,FALSE),"")</f>
        <v/>
      </c>
      <c r="H1000" s="25" t="str">
        <f t="shared" si="21"/>
        <v/>
      </c>
    </row>
    <row r="1001" spans="4:8">
      <c r="D1001" s="27" t="str">
        <f>IFERROR(VLOOKUP(A1001,テーブル11[],2,FALSE),"")</f>
        <v/>
      </c>
      <c r="E1001" s="25" t="str">
        <f>IFERROR(VLOOKUP($B1001,テーブル12[],2,FALSE),"")</f>
        <v/>
      </c>
      <c r="F1001" s="25" t="str">
        <f>IFERROR(VLOOKUP($B1001,テーブル12[],3,FALSE),"")</f>
        <v/>
      </c>
      <c r="G1001" s="31" t="str">
        <f>IFERROR(VLOOKUP($B1001,テーブル12[],4,FALSE),"")</f>
        <v/>
      </c>
      <c r="H1001" s="25" t="str">
        <f t="shared" si="21"/>
        <v/>
      </c>
    </row>
    <row r="1002" spans="4:8">
      <c r="D1002" s="27" t="str">
        <f>IFERROR(VLOOKUP(A1002,テーブル11[],2,FALSE),"")</f>
        <v/>
      </c>
      <c r="E1002" s="25" t="str">
        <f>IFERROR(VLOOKUP($B1002,テーブル12[],2,FALSE),"")</f>
        <v/>
      </c>
      <c r="F1002" s="25" t="str">
        <f>IFERROR(VLOOKUP($B1002,テーブル12[],3,FALSE),"")</f>
        <v/>
      </c>
      <c r="G1002" s="31" t="str">
        <f>IFERROR(VLOOKUP($B1002,テーブル12[],4,FALSE),"")</f>
        <v/>
      </c>
      <c r="H1002" s="25" t="str">
        <f t="shared" si="21"/>
        <v/>
      </c>
    </row>
    <row r="1003" spans="4:8">
      <c r="D1003" s="27" t="str">
        <f>IFERROR(VLOOKUP(A1003,テーブル11[],2,FALSE),"")</f>
        <v/>
      </c>
      <c r="E1003" s="25" t="str">
        <f>IFERROR(VLOOKUP($B1003,テーブル12[],2,FALSE),"")</f>
        <v/>
      </c>
      <c r="F1003" s="25" t="str">
        <f>IFERROR(VLOOKUP($B1003,テーブル12[],3,FALSE),"")</f>
        <v/>
      </c>
      <c r="G1003" s="31" t="str">
        <f>IFERROR(VLOOKUP($B1003,テーブル12[],4,FALSE),"")</f>
        <v/>
      </c>
      <c r="H1003" s="25" t="str">
        <f t="shared" si="21"/>
        <v/>
      </c>
    </row>
    <row r="1004" spans="4:8">
      <c r="D1004" s="27" t="str">
        <f>IFERROR(VLOOKUP(A1004,テーブル11[],2,FALSE),"")</f>
        <v/>
      </c>
      <c r="E1004" s="25" t="str">
        <f>IFERROR(VLOOKUP($B1004,テーブル12[],2,FALSE),"")</f>
        <v/>
      </c>
      <c r="F1004" s="25" t="str">
        <f>IFERROR(VLOOKUP($B1004,テーブル12[],3,FALSE),"")</f>
        <v/>
      </c>
      <c r="G1004" s="31" t="str">
        <f>IFERROR(VLOOKUP($B1004,テーブル12[],4,FALSE),"")</f>
        <v/>
      </c>
      <c r="H1004" s="25" t="str">
        <f t="shared" si="21"/>
        <v/>
      </c>
    </row>
    <row r="1005" spans="4:8">
      <c r="D1005" s="27" t="str">
        <f>IFERROR(VLOOKUP(A1005,テーブル11[],2,FALSE),"")</f>
        <v/>
      </c>
      <c r="E1005" s="25" t="str">
        <f>IFERROR(VLOOKUP($B1005,テーブル12[],2,FALSE),"")</f>
        <v/>
      </c>
      <c r="F1005" s="25" t="str">
        <f>IFERROR(VLOOKUP($B1005,テーブル12[],3,FALSE),"")</f>
        <v/>
      </c>
      <c r="G1005" s="31" t="str">
        <f>IFERROR(VLOOKUP($B1005,テーブル12[],4,FALSE),"")</f>
        <v/>
      </c>
      <c r="H1005" s="25" t="str">
        <f t="shared" si="21"/>
        <v/>
      </c>
    </row>
    <row r="1006" spans="4:8">
      <c r="D1006" s="27" t="str">
        <f>IFERROR(VLOOKUP(A1006,テーブル11[],2,FALSE),"")</f>
        <v/>
      </c>
      <c r="E1006" s="25" t="str">
        <f>IFERROR(VLOOKUP($B1006,テーブル12[],2,FALSE),"")</f>
        <v/>
      </c>
      <c r="F1006" s="25" t="str">
        <f>IFERROR(VLOOKUP($B1006,テーブル12[],3,FALSE),"")</f>
        <v/>
      </c>
      <c r="G1006" s="31" t="str">
        <f>IFERROR(VLOOKUP($B1006,テーブル12[],4,FALSE),"")</f>
        <v/>
      </c>
      <c r="H1006" s="25" t="str">
        <f t="shared" si="21"/>
        <v/>
      </c>
    </row>
    <row r="1007" spans="4:8">
      <c r="D1007" s="27" t="str">
        <f>IFERROR(VLOOKUP(A1007,テーブル11[],2,FALSE),"")</f>
        <v/>
      </c>
      <c r="E1007" s="25" t="str">
        <f>IFERROR(VLOOKUP($B1007,テーブル12[],2,FALSE),"")</f>
        <v/>
      </c>
      <c r="F1007" s="25" t="str">
        <f>IFERROR(VLOOKUP($B1007,テーブル12[],3,FALSE),"")</f>
        <v/>
      </c>
      <c r="G1007" s="31" t="str">
        <f>IFERROR(VLOOKUP($B1007,テーブル12[],4,FALSE),"")</f>
        <v/>
      </c>
      <c r="H1007" s="25" t="str">
        <f t="shared" si="21"/>
        <v/>
      </c>
    </row>
    <row r="1008" spans="4:8">
      <c r="D1008" s="27" t="str">
        <f>IFERROR(VLOOKUP(A1008,テーブル11[],2,FALSE),"")</f>
        <v/>
      </c>
      <c r="E1008" s="25" t="str">
        <f>IFERROR(VLOOKUP($B1008,テーブル12[],2,FALSE),"")</f>
        <v/>
      </c>
      <c r="F1008" s="25" t="str">
        <f>IFERROR(VLOOKUP($B1008,テーブル12[],3,FALSE),"")</f>
        <v/>
      </c>
      <c r="G1008" s="31" t="str">
        <f>IFERROR(VLOOKUP($B1008,テーブル12[],4,FALSE),"")</f>
        <v/>
      </c>
      <c r="H1008" s="25" t="str">
        <f t="shared" si="21"/>
        <v/>
      </c>
    </row>
    <row r="1009" spans="4:8">
      <c r="D1009" s="27" t="str">
        <f>IFERROR(VLOOKUP(A1009,テーブル11[],2,FALSE),"")</f>
        <v/>
      </c>
      <c r="E1009" s="25" t="str">
        <f>IFERROR(VLOOKUP($B1009,テーブル12[],2,FALSE),"")</f>
        <v/>
      </c>
      <c r="F1009" s="25" t="str">
        <f>IFERROR(VLOOKUP($B1009,テーブル12[],3,FALSE),"")</f>
        <v/>
      </c>
      <c r="G1009" s="31" t="str">
        <f>IFERROR(VLOOKUP($B1009,テーブル12[],4,FALSE),"")</f>
        <v/>
      </c>
      <c r="H1009" s="25" t="str">
        <f t="shared" si="21"/>
        <v/>
      </c>
    </row>
    <row r="1010" spans="4:8">
      <c r="D1010" s="27" t="str">
        <f>IFERROR(VLOOKUP(A1010,テーブル11[],2,FALSE),"")</f>
        <v/>
      </c>
      <c r="E1010" s="25" t="str">
        <f>IFERROR(VLOOKUP($B1010,テーブル12[],2,FALSE),"")</f>
        <v/>
      </c>
      <c r="F1010" s="25" t="str">
        <f>IFERROR(VLOOKUP($B1010,テーブル12[],3,FALSE),"")</f>
        <v/>
      </c>
      <c r="G1010" s="31" t="str">
        <f>IFERROR(VLOOKUP($B1010,テーブル12[],4,FALSE),"")</f>
        <v/>
      </c>
      <c r="H1010" s="25" t="str">
        <f t="shared" si="21"/>
        <v/>
      </c>
    </row>
    <row r="1011" spans="4:8">
      <c r="D1011" s="27" t="str">
        <f>IFERROR(VLOOKUP(A1011,テーブル11[],2,FALSE),"")</f>
        <v/>
      </c>
      <c r="E1011" s="25" t="str">
        <f>IFERROR(VLOOKUP($B1011,テーブル12[],2,FALSE),"")</f>
        <v/>
      </c>
      <c r="F1011" s="25" t="str">
        <f>IFERROR(VLOOKUP($B1011,テーブル12[],3,FALSE),"")</f>
        <v/>
      </c>
      <c r="G1011" s="31" t="str">
        <f>IFERROR(VLOOKUP($B1011,テーブル12[],4,FALSE),"")</f>
        <v/>
      </c>
      <c r="H1011" s="25" t="str">
        <f t="shared" si="21"/>
        <v/>
      </c>
    </row>
    <row r="1012" spans="4:8">
      <c r="D1012" s="27" t="str">
        <f>IFERROR(VLOOKUP(A1012,テーブル11[],2,FALSE),"")</f>
        <v/>
      </c>
      <c r="E1012" s="25" t="str">
        <f>IFERROR(VLOOKUP($B1012,テーブル12[],2,FALSE),"")</f>
        <v/>
      </c>
      <c r="F1012" s="25" t="str">
        <f>IFERROR(VLOOKUP($B1012,テーブル12[],3,FALSE),"")</f>
        <v/>
      </c>
      <c r="G1012" s="31" t="str">
        <f>IFERROR(VLOOKUP($B1012,テーブル12[],4,FALSE),"")</f>
        <v/>
      </c>
      <c r="H1012" s="25" t="str">
        <f t="shared" si="21"/>
        <v/>
      </c>
    </row>
    <row r="1013" spans="4:8">
      <c r="D1013" s="27" t="str">
        <f>IFERROR(VLOOKUP(A1013,テーブル11[],2,FALSE),"")</f>
        <v/>
      </c>
      <c r="E1013" s="25" t="str">
        <f>IFERROR(VLOOKUP($B1013,テーブル12[],2,FALSE),"")</f>
        <v/>
      </c>
      <c r="F1013" s="25" t="str">
        <f>IFERROR(VLOOKUP($B1013,テーブル12[],3,FALSE),"")</f>
        <v/>
      </c>
      <c r="G1013" s="31" t="str">
        <f>IFERROR(VLOOKUP($B1013,テーブル12[],4,FALSE),"")</f>
        <v/>
      </c>
      <c r="H1013" s="25" t="str">
        <f t="shared" si="21"/>
        <v/>
      </c>
    </row>
    <row r="1014" spans="4:8">
      <c r="D1014" s="27" t="str">
        <f>IFERROR(VLOOKUP(A1014,テーブル11[],2,FALSE),"")</f>
        <v/>
      </c>
      <c r="E1014" s="25" t="str">
        <f>IFERROR(VLOOKUP($B1014,テーブル12[],2,FALSE),"")</f>
        <v/>
      </c>
      <c r="F1014" s="25" t="str">
        <f>IFERROR(VLOOKUP($B1014,テーブル12[],3,FALSE),"")</f>
        <v/>
      </c>
      <c r="G1014" s="31" t="str">
        <f>IFERROR(VLOOKUP($B1014,テーブル12[],4,FALSE),"")</f>
        <v/>
      </c>
      <c r="H1014" s="25" t="str">
        <f t="shared" si="21"/>
        <v/>
      </c>
    </row>
    <row r="1015" spans="4:8">
      <c r="D1015" s="27" t="str">
        <f>IFERROR(VLOOKUP(A1015,テーブル11[],2,FALSE),"")</f>
        <v/>
      </c>
      <c r="E1015" s="25" t="str">
        <f>IFERROR(VLOOKUP($B1015,テーブル12[],2,FALSE),"")</f>
        <v/>
      </c>
      <c r="F1015" s="25" t="str">
        <f>IFERROR(VLOOKUP($B1015,テーブル12[],3,FALSE),"")</f>
        <v/>
      </c>
      <c r="G1015" s="31" t="str">
        <f>IFERROR(VLOOKUP($B1015,テーブル12[],4,FALSE),"")</f>
        <v/>
      </c>
      <c r="H1015" s="25" t="str">
        <f t="shared" si="21"/>
        <v/>
      </c>
    </row>
    <row r="1016" spans="4:8">
      <c r="D1016" s="27" t="str">
        <f>IFERROR(VLOOKUP(A1016,テーブル11[],2,FALSE),"")</f>
        <v/>
      </c>
      <c r="E1016" s="25" t="str">
        <f>IFERROR(VLOOKUP($B1016,テーブル12[],2,FALSE),"")</f>
        <v/>
      </c>
      <c r="F1016" s="25" t="str">
        <f>IFERROR(VLOOKUP($B1016,テーブル12[],3,FALSE),"")</f>
        <v/>
      </c>
      <c r="G1016" s="31" t="str">
        <f>IFERROR(VLOOKUP($B1016,テーブル12[],4,FALSE),"")</f>
        <v/>
      </c>
      <c r="H1016" s="25" t="str">
        <f t="shared" si="21"/>
        <v/>
      </c>
    </row>
    <row r="1017" spans="4:8">
      <c r="D1017" s="27" t="str">
        <f>IFERROR(VLOOKUP(A1017,テーブル11[],2,FALSE),"")</f>
        <v/>
      </c>
      <c r="E1017" s="25" t="str">
        <f>IFERROR(VLOOKUP($B1017,テーブル12[],2,FALSE),"")</f>
        <v/>
      </c>
      <c r="F1017" s="25" t="str">
        <f>IFERROR(VLOOKUP($B1017,テーブル12[],3,FALSE),"")</f>
        <v/>
      </c>
      <c r="G1017" s="31" t="str">
        <f>IFERROR(VLOOKUP($B1017,テーブル12[],4,FALSE),"")</f>
        <v/>
      </c>
      <c r="H1017" s="25" t="str">
        <f t="shared" si="21"/>
        <v/>
      </c>
    </row>
    <row r="1018" spans="4:8">
      <c r="D1018" s="27" t="str">
        <f>IFERROR(VLOOKUP(A1018,テーブル11[],2,FALSE),"")</f>
        <v/>
      </c>
      <c r="E1018" s="25" t="str">
        <f>IFERROR(VLOOKUP($B1018,テーブル12[],2,FALSE),"")</f>
        <v/>
      </c>
      <c r="F1018" s="25" t="str">
        <f>IFERROR(VLOOKUP($B1018,テーブル12[],3,FALSE),"")</f>
        <v/>
      </c>
      <c r="G1018" s="31" t="str">
        <f>IFERROR(VLOOKUP($B1018,テーブル12[],4,FALSE),"")</f>
        <v/>
      </c>
      <c r="H1018" s="25" t="str">
        <f t="shared" si="21"/>
        <v/>
      </c>
    </row>
    <row r="1019" spans="4:8">
      <c r="D1019" s="27" t="str">
        <f>IFERROR(VLOOKUP(A1019,テーブル11[],2,FALSE),"")</f>
        <v/>
      </c>
      <c r="E1019" s="25" t="str">
        <f>IFERROR(VLOOKUP($B1019,テーブル12[],2,FALSE),"")</f>
        <v/>
      </c>
      <c r="F1019" s="25" t="str">
        <f>IFERROR(VLOOKUP($B1019,テーブル12[],3,FALSE),"")</f>
        <v/>
      </c>
      <c r="G1019" s="31" t="str">
        <f>IFERROR(VLOOKUP($B1019,テーブル12[],4,FALSE),"")</f>
        <v/>
      </c>
      <c r="H1019" s="25" t="str">
        <f t="shared" si="21"/>
        <v/>
      </c>
    </row>
    <row r="1020" spans="4:8">
      <c r="D1020" s="27" t="str">
        <f>IFERROR(VLOOKUP(A1020,テーブル11[],2,FALSE),"")</f>
        <v/>
      </c>
      <c r="E1020" s="25" t="str">
        <f>IFERROR(VLOOKUP($B1020,テーブル12[],2,FALSE),"")</f>
        <v/>
      </c>
      <c r="F1020" s="25" t="str">
        <f>IFERROR(VLOOKUP($B1020,テーブル12[],3,FALSE),"")</f>
        <v/>
      </c>
      <c r="G1020" s="31" t="str">
        <f>IFERROR(VLOOKUP($B1020,テーブル12[],4,FALSE),"")</f>
        <v/>
      </c>
      <c r="H1020" s="25" t="str">
        <f t="shared" si="21"/>
        <v/>
      </c>
    </row>
    <row r="1021" spans="4:8">
      <c r="D1021" s="27" t="str">
        <f>IFERROR(VLOOKUP(A1021,テーブル11[],2,FALSE),"")</f>
        <v/>
      </c>
      <c r="E1021" s="25" t="str">
        <f>IFERROR(VLOOKUP($B1021,テーブル12[],2,FALSE),"")</f>
        <v/>
      </c>
      <c r="F1021" s="25" t="str">
        <f>IFERROR(VLOOKUP($B1021,テーブル12[],3,FALSE),"")</f>
        <v/>
      </c>
      <c r="G1021" s="31" t="str">
        <f>IFERROR(VLOOKUP($B1021,テーブル12[],4,FALSE),"")</f>
        <v/>
      </c>
      <c r="H1021" s="25" t="str">
        <f t="shared" si="21"/>
        <v/>
      </c>
    </row>
    <row r="1022" spans="4:8">
      <c r="D1022" s="27" t="str">
        <f>IFERROR(VLOOKUP(A1022,テーブル11[],2,FALSE),"")</f>
        <v/>
      </c>
      <c r="E1022" s="25" t="str">
        <f>IFERROR(VLOOKUP($B1022,テーブル12[],2,FALSE),"")</f>
        <v/>
      </c>
      <c r="F1022" s="25" t="str">
        <f>IFERROR(VLOOKUP($B1022,テーブル12[],3,FALSE),"")</f>
        <v/>
      </c>
      <c r="G1022" s="31" t="str">
        <f>IFERROR(VLOOKUP($B1022,テーブル12[],4,FALSE),"")</f>
        <v/>
      </c>
      <c r="H1022" s="25" t="str">
        <f t="shared" si="21"/>
        <v/>
      </c>
    </row>
    <row r="1023" spans="4:8">
      <c r="D1023" s="27" t="str">
        <f>IFERROR(VLOOKUP(A1023,テーブル11[],2,FALSE),"")</f>
        <v/>
      </c>
      <c r="E1023" s="25" t="str">
        <f>IFERROR(VLOOKUP($B1023,テーブル12[],2,FALSE),"")</f>
        <v/>
      </c>
      <c r="F1023" s="25" t="str">
        <f>IFERROR(VLOOKUP($B1023,テーブル12[],3,FALSE),"")</f>
        <v/>
      </c>
      <c r="G1023" s="31" t="str">
        <f>IFERROR(VLOOKUP($B1023,テーブル12[],4,FALSE),"")</f>
        <v/>
      </c>
      <c r="H1023" s="25" t="str">
        <f t="shared" si="21"/>
        <v/>
      </c>
    </row>
    <row r="1024" spans="4:8">
      <c r="D1024" s="27" t="str">
        <f>IFERROR(VLOOKUP(A1024,テーブル11[],2,FALSE),"")</f>
        <v/>
      </c>
      <c r="E1024" s="25" t="str">
        <f>IFERROR(VLOOKUP($B1024,テーブル12[],2,FALSE),"")</f>
        <v/>
      </c>
      <c r="F1024" s="25" t="str">
        <f>IFERROR(VLOOKUP($B1024,テーブル12[],3,FALSE),"")</f>
        <v/>
      </c>
      <c r="G1024" s="31" t="str">
        <f>IFERROR(VLOOKUP($B1024,テーブル12[],4,FALSE),"")</f>
        <v/>
      </c>
      <c r="H1024" s="25" t="str">
        <f t="shared" si="21"/>
        <v/>
      </c>
    </row>
    <row r="1025" spans="4:8">
      <c r="D1025" s="27" t="str">
        <f>IFERROR(VLOOKUP(A1025,テーブル11[],2,FALSE),"")</f>
        <v/>
      </c>
      <c r="E1025" s="25" t="str">
        <f>IFERROR(VLOOKUP($B1025,テーブル12[],2,FALSE),"")</f>
        <v/>
      </c>
      <c r="F1025" s="25" t="str">
        <f>IFERROR(VLOOKUP($B1025,テーブル12[],3,FALSE),"")</f>
        <v/>
      </c>
      <c r="G1025" s="31" t="str">
        <f>IFERROR(VLOOKUP($B1025,テーブル12[],4,FALSE),"")</f>
        <v/>
      </c>
      <c r="H1025" s="25" t="str">
        <f t="shared" si="21"/>
        <v/>
      </c>
    </row>
    <row r="1026" spans="4:8">
      <c r="D1026" s="27" t="str">
        <f>IFERROR(VLOOKUP(A1026,テーブル11[],2,FALSE),"")</f>
        <v/>
      </c>
      <c r="E1026" s="25" t="str">
        <f>IFERROR(VLOOKUP($B1026,テーブル12[],2,FALSE),"")</f>
        <v/>
      </c>
      <c r="F1026" s="25" t="str">
        <f>IFERROR(VLOOKUP($B1026,テーブル12[],3,FALSE),"")</f>
        <v/>
      </c>
      <c r="G1026" s="31" t="str">
        <f>IFERROR(VLOOKUP($B1026,テーブル12[],4,FALSE),"")</f>
        <v/>
      </c>
      <c r="H1026" s="25" t="str">
        <f t="shared" ref="H1026:H1089" si="22">IF(C1026=0,"",C1026)</f>
        <v/>
      </c>
    </row>
    <row r="1027" spans="4:8">
      <c r="D1027" s="27" t="str">
        <f>IFERROR(VLOOKUP(A1027,テーブル11[],2,FALSE),"")</f>
        <v/>
      </c>
      <c r="E1027" s="25" t="str">
        <f>IFERROR(VLOOKUP($B1027,テーブル12[],2,FALSE),"")</f>
        <v/>
      </c>
      <c r="F1027" s="25" t="str">
        <f>IFERROR(VLOOKUP($B1027,テーブル12[],3,FALSE),"")</f>
        <v/>
      </c>
      <c r="G1027" s="31" t="str">
        <f>IFERROR(VLOOKUP($B1027,テーブル12[],4,FALSE),"")</f>
        <v/>
      </c>
      <c r="H1027" s="25" t="str">
        <f t="shared" si="22"/>
        <v/>
      </c>
    </row>
    <row r="1028" spans="4:8">
      <c r="D1028" s="27" t="str">
        <f>IFERROR(VLOOKUP(A1028,テーブル11[],2,FALSE),"")</f>
        <v/>
      </c>
      <c r="E1028" s="25" t="str">
        <f>IFERROR(VLOOKUP($B1028,テーブル12[],2,FALSE),"")</f>
        <v/>
      </c>
      <c r="F1028" s="25" t="str">
        <f>IFERROR(VLOOKUP($B1028,テーブル12[],3,FALSE),"")</f>
        <v/>
      </c>
      <c r="G1028" s="31" t="str">
        <f>IFERROR(VLOOKUP($B1028,テーブル12[],4,FALSE),"")</f>
        <v/>
      </c>
      <c r="H1028" s="25" t="str">
        <f t="shared" si="22"/>
        <v/>
      </c>
    </row>
    <row r="1029" spans="4:8">
      <c r="D1029" s="27" t="str">
        <f>IFERROR(VLOOKUP(A1029,テーブル11[],2,FALSE),"")</f>
        <v/>
      </c>
      <c r="E1029" s="25" t="str">
        <f>IFERROR(VLOOKUP($B1029,テーブル12[],2,FALSE),"")</f>
        <v/>
      </c>
      <c r="F1029" s="25" t="str">
        <f>IFERROR(VLOOKUP($B1029,テーブル12[],3,FALSE),"")</f>
        <v/>
      </c>
      <c r="G1029" s="31" t="str">
        <f>IFERROR(VLOOKUP($B1029,テーブル12[],4,FALSE),"")</f>
        <v/>
      </c>
      <c r="H1029" s="25" t="str">
        <f t="shared" si="22"/>
        <v/>
      </c>
    </row>
    <row r="1030" spans="4:8">
      <c r="D1030" s="27" t="str">
        <f>IFERROR(VLOOKUP(A1030,テーブル11[],2,FALSE),"")</f>
        <v/>
      </c>
      <c r="E1030" s="25" t="str">
        <f>IFERROR(VLOOKUP($B1030,テーブル12[],2,FALSE),"")</f>
        <v/>
      </c>
      <c r="F1030" s="25" t="str">
        <f>IFERROR(VLOOKUP($B1030,テーブル12[],3,FALSE),"")</f>
        <v/>
      </c>
      <c r="G1030" s="31" t="str">
        <f>IFERROR(VLOOKUP($B1030,テーブル12[],4,FALSE),"")</f>
        <v/>
      </c>
      <c r="H1030" s="25" t="str">
        <f t="shared" si="22"/>
        <v/>
      </c>
    </row>
    <row r="1031" spans="4:8">
      <c r="D1031" s="27" t="str">
        <f>IFERROR(VLOOKUP(A1031,テーブル11[],2,FALSE),"")</f>
        <v/>
      </c>
      <c r="E1031" s="25" t="str">
        <f>IFERROR(VLOOKUP($B1031,テーブル12[],2,FALSE),"")</f>
        <v/>
      </c>
      <c r="F1031" s="25" t="str">
        <f>IFERROR(VLOOKUP($B1031,テーブル12[],3,FALSE),"")</f>
        <v/>
      </c>
      <c r="G1031" s="31" t="str">
        <f>IFERROR(VLOOKUP($B1031,テーブル12[],4,FALSE),"")</f>
        <v/>
      </c>
      <c r="H1031" s="25" t="str">
        <f t="shared" si="22"/>
        <v/>
      </c>
    </row>
    <row r="1032" spans="4:8">
      <c r="D1032" s="27" t="str">
        <f>IFERROR(VLOOKUP(A1032,テーブル11[],2,FALSE),"")</f>
        <v/>
      </c>
      <c r="E1032" s="25" t="str">
        <f>IFERROR(VLOOKUP($B1032,テーブル12[],2,FALSE),"")</f>
        <v/>
      </c>
      <c r="F1032" s="25" t="str">
        <f>IFERROR(VLOOKUP($B1032,テーブル12[],3,FALSE),"")</f>
        <v/>
      </c>
      <c r="G1032" s="31" t="str">
        <f>IFERROR(VLOOKUP($B1032,テーブル12[],4,FALSE),"")</f>
        <v/>
      </c>
      <c r="H1032" s="25" t="str">
        <f t="shared" si="22"/>
        <v/>
      </c>
    </row>
    <row r="1033" spans="4:8">
      <c r="D1033" s="27" t="str">
        <f>IFERROR(VLOOKUP(A1033,テーブル11[],2,FALSE),"")</f>
        <v/>
      </c>
      <c r="E1033" s="25" t="str">
        <f>IFERROR(VLOOKUP($B1033,テーブル12[],2,FALSE),"")</f>
        <v/>
      </c>
      <c r="F1033" s="25" t="str">
        <f>IFERROR(VLOOKUP($B1033,テーブル12[],3,FALSE),"")</f>
        <v/>
      </c>
      <c r="G1033" s="31" t="str">
        <f>IFERROR(VLOOKUP($B1033,テーブル12[],4,FALSE),"")</f>
        <v/>
      </c>
      <c r="H1033" s="25" t="str">
        <f t="shared" si="22"/>
        <v/>
      </c>
    </row>
    <row r="1034" spans="4:8">
      <c r="D1034" s="27" t="str">
        <f>IFERROR(VLOOKUP(A1034,テーブル11[],2,FALSE),"")</f>
        <v/>
      </c>
      <c r="E1034" s="25" t="str">
        <f>IFERROR(VLOOKUP($B1034,テーブル12[],2,FALSE),"")</f>
        <v/>
      </c>
      <c r="F1034" s="25" t="str">
        <f>IFERROR(VLOOKUP($B1034,テーブル12[],3,FALSE),"")</f>
        <v/>
      </c>
      <c r="G1034" s="31" t="str">
        <f>IFERROR(VLOOKUP($B1034,テーブル12[],4,FALSE),"")</f>
        <v/>
      </c>
      <c r="H1034" s="25" t="str">
        <f t="shared" si="22"/>
        <v/>
      </c>
    </row>
    <row r="1035" spans="4:8">
      <c r="D1035" s="27" t="str">
        <f>IFERROR(VLOOKUP(A1035,テーブル11[],2,FALSE),"")</f>
        <v/>
      </c>
      <c r="E1035" s="25" t="str">
        <f>IFERROR(VLOOKUP($B1035,テーブル12[],2,FALSE),"")</f>
        <v/>
      </c>
      <c r="F1035" s="25" t="str">
        <f>IFERROR(VLOOKUP($B1035,テーブル12[],3,FALSE),"")</f>
        <v/>
      </c>
      <c r="G1035" s="31" t="str">
        <f>IFERROR(VLOOKUP($B1035,テーブル12[],4,FALSE),"")</f>
        <v/>
      </c>
      <c r="H1035" s="25" t="str">
        <f t="shared" si="22"/>
        <v/>
      </c>
    </row>
    <row r="1036" spans="4:8">
      <c r="D1036" s="27" t="str">
        <f>IFERROR(VLOOKUP(A1036,テーブル11[],2,FALSE),"")</f>
        <v/>
      </c>
      <c r="E1036" s="25" t="str">
        <f>IFERROR(VLOOKUP($B1036,テーブル12[],2,FALSE),"")</f>
        <v/>
      </c>
      <c r="F1036" s="25" t="str">
        <f>IFERROR(VLOOKUP($B1036,テーブル12[],3,FALSE),"")</f>
        <v/>
      </c>
      <c r="G1036" s="31" t="str">
        <f>IFERROR(VLOOKUP($B1036,テーブル12[],4,FALSE),"")</f>
        <v/>
      </c>
      <c r="H1036" s="25" t="str">
        <f t="shared" si="22"/>
        <v/>
      </c>
    </row>
    <row r="1037" spans="4:8">
      <c r="D1037" s="27" t="str">
        <f>IFERROR(VLOOKUP(A1037,テーブル11[],2,FALSE),"")</f>
        <v/>
      </c>
      <c r="E1037" s="25" t="str">
        <f>IFERROR(VLOOKUP($B1037,テーブル12[],2,FALSE),"")</f>
        <v/>
      </c>
      <c r="F1037" s="25" t="str">
        <f>IFERROR(VLOOKUP($B1037,テーブル12[],3,FALSE),"")</f>
        <v/>
      </c>
      <c r="G1037" s="31" t="str">
        <f>IFERROR(VLOOKUP($B1037,テーブル12[],4,FALSE),"")</f>
        <v/>
      </c>
      <c r="H1037" s="25" t="str">
        <f t="shared" si="22"/>
        <v/>
      </c>
    </row>
    <row r="1038" spans="4:8">
      <c r="D1038" s="27" t="str">
        <f>IFERROR(VLOOKUP(A1038,テーブル11[],2,FALSE),"")</f>
        <v/>
      </c>
      <c r="E1038" s="25" t="str">
        <f>IFERROR(VLOOKUP($B1038,テーブル12[],2,FALSE),"")</f>
        <v/>
      </c>
      <c r="F1038" s="25" t="str">
        <f>IFERROR(VLOOKUP($B1038,テーブル12[],3,FALSE),"")</f>
        <v/>
      </c>
      <c r="G1038" s="31" t="str">
        <f>IFERROR(VLOOKUP($B1038,テーブル12[],4,FALSE),"")</f>
        <v/>
      </c>
      <c r="H1038" s="25" t="str">
        <f t="shared" si="22"/>
        <v/>
      </c>
    </row>
    <row r="1039" spans="4:8">
      <c r="D1039" s="27" t="str">
        <f>IFERROR(VLOOKUP(A1039,テーブル11[],2,FALSE),"")</f>
        <v/>
      </c>
      <c r="E1039" s="25" t="str">
        <f>IFERROR(VLOOKUP($B1039,テーブル12[],2,FALSE),"")</f>
        <v/>
      </c>
      <c r="F1039" s="25" t="str">
        <f>IFERROR(VLOOKUP($B1039,テーブル12[],3,FALSE),"")</f>
        <v/>
      </c>
      <c r="G1039" s="31" t="str">
        <f>IFERROR(VLOOKUP($B1039,テーブル12[],4,FALSE),"")</f>
        <v/>
      </c>
      <c r="H1039" s="25" t="str">
        <f t="shared" si="22"/>
        <v/>
      </c>
    </row>
    <row r="1040" spans="4:8">
      <c r="D1040" s="27" t="str">
        <f>IFERROR(VLOOKUP(A1040,テーブル11[],2,FALSE),"")</f>
        <v/>
      </c>
      <c r="E1040" s="25" t="str">
        <f>IFERROR(VLOOKUP($B1040,テーブル12[],2,FALSE),"")</f>
        <v/>
      </c>
      <c r="F1040" s="25" t="str">
        <f>IFERROR(VLOOKUP($B1040,テーブル12[],3,FALSE),"")</f>
        <v/>
      </c>
      <c r="G1040" s="31" t="str">
        <f>IFERROR(VLOOKUP($B1040,テーブル12[],4,FALSE),"")</f>
        <v/>
      </c>
      <c r="H1040" s="25" t="str">
        <f t="shared" si="22"/>
        <v/>
      </c>
    </row>
    <row r="1041" spans="4:8">
      <c r="D1041" s="27" t="str">
        <f>IFERROR(VLOOKUP(A1041,テーブル11[],2,FALSE),"")</f>
        <v/>
      </c>
      <c r="E1041" s="25" t="str">
        <f>IFERROR(VLOOKUP($B1041,テーブル12[],2,FALSE),"")</f>
        <v/>
      </c>
      <c r="F1041" s="25" t="str">
        <f>IFERROR(VLOOKUP($B1041,テーブル12[],3,FALSE),"")</f>
        <v/>
      </c>
      <c r="G1041" s="31" t="str">
        <f>IFERROR(VLOOKUP($B1041,テーブル12[],4,FALSE),"")</f>
        <v/>
      </c>
      <c r="H1041" s="25" t="str">
        <f t="shared" si="22"/>
        <v/>
      </c>
    </row>
    <row r="1042" spans="4:8">
      <c r="D1042" s="27" t="str">
        <f>IFERROR(VLOOKUP(A1042,テーブル11[],2,FALSE),"")</f>
        <v/>
      </c>
      <c r="E1042" s="25" t="str">
        <f>IFERROR(VLOOKUP($B1042,テーブル12[],2,FALSE),"")</f>
        <v/>
      </c>
      <c r="F1042" s="25" t="str">
        <f>IFERROR(VLOOKUP($B1042,テーブル12[],3,FALSE),"")</f>
        <v/>
      </c>
      <c r="G1042" s="31" t="str">
        <f>IFERROR(VLOOKUP($B1042,テーブル12[],4,FALSE),"")</f>
        <v/>
      </c>
      <c r="H1042" s="25" t="str">
        <f t="shared" si="22"/>
        <v/>
      </c>
    </row>
    <row r="1043" spans="4:8">
      <c r="D1043" s="27" t="str">
        <f>IFERROR(VLOOKUP(A1043,テーブル11[],2,FALSE),"")</f>
        <v/>
      </c>
      <c r="E1043" s="25" t="str">
        <f>IFERROR(VLOOKUP($B1043,テーブル12[],2,FALSE),"")</f>
        <v/>
      </c>
      <c r="F1043" s="25" t="str">
        <f>IFERROR(VLOOKUP($B1043,テーブル12[],3,FALSE),"")</f>
        <v/>
      </c>
      <c r="G1043" s="31" t="str">
        <f>IFERROR(VLOOKUP($B1043,テーブル12[],4,FALSE),"")</f>
        <v/>
      </c>
      <c r="H1043" s="25" t="str">
        <f t="shared" si="22"/>
        <v/>
      </c>
    </row>
    <row r="1044" spans="4:8">
      <c r="D1044" s="27" t="str">
        <f>IFERROR(VLOOKUP(A1044,テーブル11[],2,FALSE),"")</f>
        <v/>
      </c>
      <c r="E1044" s="25" t="str">
        <f>IFERROR(VLOOKUP($B1044,テーブル12[],2,FALSE),"")</f>
        <v/>
      </c>
      <c r="F1044" s="25" t="str">
        <f>IFERROR(VLOOKUP($B1044,テーブル12[],3,FALSE),"")</f>
        <v/>
      </c>
      <c r="G1044" s="31" t="str">
        <f>IFERROR(VLOOKUP($B1044,テーブル12[],4,FALSE),"")</f>
        <v/>
      </c>
      <c r="H1044" s="25" t="str">
        <f t="shared" si="22"/>
        <v/>
      </c>
    </row>
    <row r="1045" spans="4:8">
      <c r="D1045" s="27" t="str">
        <f>IFERROR(VLOOKUP(A1045,テーブル11[],2,FALSE),"")</f>
        <v/>
      </c>
      <c r="E1045" s="25" t="str">
        <f>IFERROR(VLOOKUP($B1045,テーブル12[],2,FALSE),"")</f>
        <v/>
      </c>
      <c r="F1045" s="25" t="str">
        <f>IFERROR(VLOOKUP($B1045,テーブル12[],3,FALSE),"")</f>
        <v/>
      </c>
      <c r="G1045" s="31" t="str">
        <f>IFERROR(VLOOKUP($B1045,テーブル12[],4,FALSE),"")</f>
        <v/>
      </c>
      <c r="H1045" s="25" t="str">
        <f t="shared" si="22"/>
        <v/>
      </c>
    </row>
    <row r="1046" spans="4:8">
      <c r="D1046" s="27" t="str">
        <f>IFERROR(VLOOKUP(A1046,テーブル11[],2,FALSE),"")</f>
        <v/>
      </c>
      <c r="E1046" s="25" t="str">
        <f>IFERROR(VLOOKUP($B1046,テーブル12[],2,FALSE),"")</f>
        <v/>
      </c>
      <c r="F1046" s="25" t="str">
        <f>IFERROR(VLOOKUP($B1046,テーブル12[],3,FALSE),"")</f>
        <v/>
      </c>
      <c r="G1046" s="31" t="str">
        <f>IFERROR(VLOOKUP($B1046,テーブル12[],4,FALSE),"")</f>
        <v/>
      </c>
      <c r="H1046" s="25" t="str">
        <f t="shared" si="22"/>
        <v/>
      </c>
    </row>
    <row r="1047" spans="4:8">
      <c r="D1047" s="27" t="str">
        <f>IFERROR(VLOOKUP(A1047,テーブル11[],2,FALSE),"")</f>
        <v/>
      </c>
      <c r="E1047" s="25" t="str">
        <f>IFERROR(VLOOKUP($B1047,テーブル12[],2,FALSE),"")</f>
        <v/>
      </c>
      <c r="F1047" s="25" t="str">
        <f>IFERROR(VLOOKUP($B1047,テーブル12[],3,FALSE),"")</f>
        <v/>
      </c>
      <c r="G1047" s="31" t="str">
        <f>IFERROR(VLOOKUP($B1047,テーブル12[],4,FALSE),"")</f>
        <v/>
      </c>
      <c r="H1047" s="25" t="str">
        <f t="shared" si="22"/>
        <v/>
      </c>
    </row>
    <row r="1048" spans="4:8">
      <c r="D1048" s="27" t="str">
        <f>IFERROR(VLOOKUP(A1048,テーブル11[],2,FALSE),"")</f>
        <v/>
      </c>
      <c r="E1048" s="25" t="str">
        <f>IFERROR(VLOOKUP($B1048,テーブル12[],2,FALSE),"")</f>
        <v/>
      </c>
      <c r="F1048" s="25" t="str">
        <f>IFERROR(VLOOKUP($B1048,テーブル12[],3,FALSE),"")</f>
        <v/>
      </c>
      <c r="G1048" s="31" t="str">
        <f>IFERROR(VLOOKUP($B1048,テーブル12[],4,FALSE),"")</f>
        <v/>
      </c>
      <c r="H1048" s="25" t="str">
        <f t="shared" si="22"/>
        <v/>
      </c>
    </row>
    <row r="1049" spans="4:8">
      <c r="D1049" s="27" t="str">
        <f>IFERROR(VLOOKUP(A1049,テーブル11[],2,FALSE),"")</f>
        <v/>
      </c>
      <c r="E1049" s="25" t="str">
        <f>IFERROR(VLOOKUP($B1049,テーブル12[],2,FALSE),"")</f>
        <v/>
      </c>
      <c r="F1049" s="25" t="str">
        <f>IFERROR(VLOOKUP($B1049,テーブル12[],3,FALSE),"")</f>
        <v/>
      </c>
      <c r="G1049" s="31" t="str">
        <f>IFERROR(VLOOKUP($B1049,テーブル12[],4,FALSE),"")</f>
        <v/>
      </c>
      <c r="H1049" s="25" t="str">
        <f t="shared" si="22"/>
        <v/>
      </c>
    </row>
    <row r="1050" spans="4:8">
      <c r="D1050" s="27" t="str">
        <f>IFERROR(VLOOKUP(A1050,テーブル11[],2,FALSE),"")</f>
        <v/>
      </c>
      <c r="E1050" s="25" t="str">
        <f>IFERROR(VLOOKUP($B1050,テーブル12[],2,FALSE),"")</f>
        <v/>
      </c>
      <c r="F1050" s="25" t="str">
        <f>IFERROR(VLOOKUP($B1050,テーブル12[],3,FALSE),"")</f>
        <v/>
      </c>
      <c r="G1050" s="31" t="str">
        <f>IFERROR(VLOOKUP($B1050,テーブル12[],4,FALSE),"")</f>
        <v/>
      </c>
      <c r="H1050" s="25" t="str">
        <f t="shared" si="22"/>
        <v/>
      </c>
    </row>
    <row r="1051" spans="4:8">
      <c r="D1051" s="27" t="str">
        <f>IFERROR(VLOOKUP(A1051,テーブル11[],2,FALSE),"")</f>
        <v/>
      </c>
      <c r="E1051" s="25" t="str">
        <f>IFERROR(VLOOKUP($B1051,テーブル12[],2,FALSE),"")</f>
        <v/>
      </c>
      <c r="F1051" s="25" t="str">
        <f>IFERROR(VLOOKUP($B1051,テーブル12[],3,FALSE),"")</f>
        <v/>
      </c>
      <c r="G1051" s="31" t="str">
        <f>IFERROR(VLOOKUP($B1051,テーブル12[],4,FALSE),"")</f>
        <v/>
      </c>
      <c r="H1051" s="25" t="str">
        <f t="shared" si="22"/>
        <v/>
      </c>
    </row>
    <row r="1052" spans="4:8">
      <c r="D1052" s="27" t="str">
        <f>IFERROR(VLOOKUP(A1052,テーブル11[],2,FALSE),"")</f>
        <v/>
      </c>
      <c r="E1052" s="25" t="str">
        <f>IFERROR(VLOOKUP($B1052,テーブル12[],2,FALSE),"")</f>
        <v/>
      </c>
      <c r="F1052" s="25" t="str">
        <f>IFERROR(VLOOKUP($B1052,テーブル12[],3,FALSE),"")</f>
        <v/>
      </c>
      <c r="G1052" s="31" t="str">
        <f>IFERROR(VLOOKUP($B1052,テーブル12[],4,FALSE),"")</f>
        <v/>
      </c>
      <c r="H1052" s="25" t="str">
        <f t="shared" si="22"/>
        <v/>
      </c>
    </row>
    <row r="1053" spans="4:8">
      <c r="D1053" s="27" t="str">
        <f>IFERROR(VLOOKUP(A1053,テーブル11[],2,FALSE),"")</f>
        <v/>
      </c>
      <c r="E1053" s="25" t="str">
        <f>IFERROR(VLOOKUP($B1053,テーブル12[],2,FALSE),"")</f>
        <v/>
      </c>
      <c r="F1053" s="25" t="str">
        <f>IFERROR(VLOOKUP($B1053,テーブル12[],3,FALSE),"")</f>
        <v/>
      </c>
      <c r="G1053" s="31" t="str">
        <f>IFERROR(VLOOKUP($B1053,テーブル12[],4,FALSE),"")</f>
        <v/>
      </c>
      <c r="H1053" s="25" t="str">
        <f t="shared" si="22"/>
        <v/>
      </c>
    </row>
    <row r="1054" spans="4:8">
      <c r="D1054" s="27" t="str">
        <f>IFERROR(VLOOKUP(A1054,テーブル11[],2,FALSE),"")</f>
        <v/>
      </c>
      <c r="E1054" s="25" t="str">
        <f>IFERROR(VLOOKUP($B1054,テーブル12[],2,FALSE),"")</f>
        <v/>
      </c>
      <c r="F1054" s="25" t="str">
        <f>IFERROR(VLOOKUP($B1054,テーブル12[],3,FALSE),"")</f>
        <v/>
      </c>
      <c r="G1054" s="31" t="str">
        <f>IFERROR(VLOOKUP($B1054,テーブル12[],4,FALSE),"")</f>
        <v/>
      </c>
      <c r="H1054" s="25" t="str">
        <f t="shared" si="22"/>
        <v/>
      </c>
    </row>
    <row r="1055" spans="4:8">
      <c r="D1055" s="27" t="str">
        <f>IFERROR(VLOOKUP(A1055,テーブル11[],2,FALSE),"")</f>
        <v/>
      </c>
      <c r="E1055" s="25" t="str">
        <f>IFERROR(VLOOKUP($B1055,テーブル12[],2,FALSE),"")</f>
        <v/>
      </c>
      <c r="F1055" s="25" t="str">
        <f>IFERROR(VLOOKUP($B1055,テーブル12[],3,FALSE),"")</f>
        <v/>
      </c>
      <c r="G1055" s="31" t="str">
        <f>IFERROR(VLOOKUP($B1055,テーブル12[],4,FALSE),"")</f>
        <v/>
      </c>
      <c r="H1055" s="25" t="str">
        <f t="shared" si="22"/>
        <v/>
      </c>
    </row>
    <row r="1056" spans="4:8">
      <c r="D1056" s="27" t="str">
        <f>IFERROR(VLOOKUP(A1056,テーブル11[],2,FALSE),"")</f>
        <v/>
      </c>
      <c r="E1056" s="25" t="str">
        <f>IFERROR(VLOOKUP($B1056,テーブル12[],2,FALSE),"")</f>
        <v/>
      </c>
      <c r="F1056" s="25" t="str">
        <f>IFERROR(VLOOKUP($B1056,テーブル12[],3,FALSE),"")</f>
        <v/>
      </c>
      <c r="G1056" s="31" t="str">
        <f>IFERROR(VLOOKUP($B1056,テーブル12[],4,FALSE),"")</f>
        <v/>
      </c>
      <c r="H1056" s="25" t="str">
        <f t="shared" si="22"/>
        <v/>
      </c>
    </row>
    <row r="1057" spans="4:8">
      <c r="D1057" s="27" t="str">
        <f>IFERROR(VLOOKUP(A1057,テーブル11[],2,FALSE),"")</f>
        <v/>
      </c>
      <c r="E1057" s="25" t="str">
        <f>IFERROR(VLOOKUP($B1057,テーブル12[],2,FALSE),"")</f>
        <v/>
      </c>
      <c r="F1057" s="25" t="str">
        <f>IFERROR(VLOOKUP($B1057,テーブル12[],3,FALSE),"")</f>
        <v/>
      </c>
      <c r="G1057" s="31" t="str">
        <f>IFERROR(VLOOKUP($B1057,テーブル12[],4,FALSE),"")</f>
        <v/>
      </c>
      <c r="H1057" s="25" t="str">
        <f t="shared" si="22"/>
        <v/>
      </c>
    </row>
    <row r="1058" spans="4:8">
      <c r="D1058" s="27" t="str">
        <f>IFERROR(VLOOKUP(A1058,テーブル11[],2,FALSE),"")</f>
        <v/>
      </c>
      <c r="E1058" s="25" t="str">
        <f>IFERROR(VLOOKUP($B1058,テーブル12[],2,FALSE),"")</f>
        <v/>
      </c>
      <c r="F1058" s="25" t="str">
        <f>IFERROR(VLOOKUP($B1058,テーブル12[],3,FALSE),"")</f>
        <v/>
      </c>
      <c r="G1058" s="31" t="str">
        <f>IFERROR(VLOOKUP($B1058,テーブル12[],4,FALSE),"")</f>
        <v/>
      </c>
      <c r="H1058" s="25" t="str">
        <f t="shared" si="22"/>
        <v/>
      </c>
    </row>
    <row r="1059" spans="4:8">
      <c r="D1059" s="27" t="str">
        <f>IFERROR(VLOOKUP(A1059,テーブル11[],2,FALSE),"")</f>
        <v/>
      </c>
      <c r="E1059" s="25" t="str">
        <f>IFERROR(VLOOKUP($B1059,テーブル12[],2,FALSE),"")</f>
        <v/>
      </c>
      <c r="F1059" s="25" t="str">
        <f>IFERROR(VLOOKUP($B1059,テーブル12[],3,FALSE),"")</f>
        <v/>
      </c>
      <c r="G1059" s="31" t="str">
        <f>IFERROR(VLOOKUP($B1059,テーブル12[],4,FALSE),"")</f>
        <v/>
      </c>
      <c r="H1059" s="25" t="str">
        <f t="shared" si="22"/>
        <v/>
      </c>
    </row>
    <row r="1060" spans="4:8">
      <c r="D1060" s="27" t="str">
        <f>IFERROR(VLOOKUP(A1060,テーブル11[],2,FALSE),"")</f>
        <v/>
      </c>
      <c r="E1060" s="25" t="str">
        <f>IFERROR(VLOOKUP($B1060,テーブル12[],2,FALSE),"")</f>
        <v/>
      </c>
      <c r="F1060" s="25" t="str">
        <f>IFERROR(VLOOKUP($B1060,テーブル12[],3,FALSE),"")</f>
        <v/>
      </c>
      <c r="G1060" s="31" t="str">
        <f>IFERROR(VLOOKUP($B1060,テーブル12[],4,FALSE),"")</f>
        <v/>
      </c>
      <c r="H1060" s="25" t="str">
        <f t="shared" si="22"/>
        <v/>
      </c>
    </row>
    <row r="1061" spans="4:8">
      <c r="D1061" s="27" t="str">
        <f>IFERROR(VLOOKUP(A1061,テーブル11[],2,FALSE),"")</f>
        <v/>
      </c>
      <c r="E1061" s="25" t="str">
        <f>IFERROR(VLOOKUP($B1061,テーブル12[],2,FALSE),"")</f>
        <v/>
      </c>
      <c r="F1061" s="25" t="str">
        <f>IFERROR(VLOOKUP($B1061,テーブル12[],3,FALSE),"")</f>
        <v/>
      </c>
      <c r="G1061" s="31" t="str">
        <f>IFERROR(VLOOKUP($B1061,テーブル12[],4,FALSE),"")</f>
        <v/>
      </c>
      <c r="H1061" s="25" t="str">
        <f t="shared" si="22"/>
        <v/>
      </c>
    </row>
    <row r="1062" spans="4:8">
      <c r="D1062" s="27" t="str">
        <f>IFERROR(VLOOKUP(A1062,テーブル11[],2,FALSE),"")</f>
        <v/>
      </c>
      <c r="E1062" s="25" t="str">
        <f>IFERROR(VLOOKUP($B1062,テーブル12[],2,FALSE),"")</f>
        <v/>
      </c>
      <c r="F1062" s="25" t="str">
        <f>IFERROR(VLOOKUP($B1062,テーブル12[],3,FALSE),"")</f>
        <v/>
      </c>
      <c r="G1062" s="31" t="str">
        <f>IFERROR(VLOOKUP($B1062,テーブル12[],4,FALSE),"")</f>
        <v/>
      </c>
      <c r="H1062" s="25" t="str">
        <f t="shared" si="22"/>
        <v/>
      </c>
    </row>
    <row r="1063" spans="4:8">
      <c r="D1063" s="27" t="str">
        <f>IFERROR(VLOOKUP(A1063,テーブル11[],2,FALSE),"")</f>
        <v/>
      </c>
      <c r="E1063" s="25" t="str">
        <f>IFERROR(VLOOKUP($B1063,テーブル12[],2,FALSE),"")</f>
        <v/>
      </c>
      <c r="F1063" s="25" t="str">
        <f>IFERROR(VLOOKUP($B1063,テーブル12[],3,FALSE),"")</f>
        <v/>
      </c>
      <c r="G1063" s="31" t="str">
        <f>IFERROR(VLOOKUP($B1063,テーブル12[],4,FALSE),"")</f>
        <v/>
      </c>
      <c r="H1063" s="25" t="str">
        <f t="shared" si="22"/>
        <v/>
      </c>
    </row>
    <row r="1064" spans="4:8">
      <c r="D1064" s="27" t="str">
        <f>IFERROR(VLOOKUP(A1064,テーブル11[],2,FALSE),"")</f>
        <v/>
      </c>
      <c r="E1064" s="25" t="str">
        <f>IFERROR(VLOOKUP($B1064,テーブル12[],2,FALSE),"")</f>
        <v/>
      </c>
      <c r="F1064" s="25" t="str">
        <f>IFERROR(VLOOKUP($B1064,テーブル12[],3,FALSE),"")</f>
        <v/>
      </c>
      <c r="G1064" s="31" t="str">
        <f>IFERROR(VLOOKUP($B1064,テーブル12[],4,FALSE),"")</f>
        <v/>
      </c>
      <c r="H1064" s="25" t="str">
        <f t="shared" si="22"/>
        <v/>
      </c>
    </row>
    <row r="1065" spans="4:8">
      <c r="D1065" s="27" t="str">
        <f>IFERROR(VLOOKUP(A1065,テーブル11[],2,FALSE),"")</f>
        <v/>
      </c>
      <c r="E1065" s="25" t="str">
        <f>IFERROR(VLOOKUP($B1065,テーブル12[],2,FALSE),"")</f>
        <v/>
      </c>
      <c r="F1065" s="25" t="str">
        <f>IFERROR(VLOOKUP($B1065,テーブル12[],3,FALSE),"")</f>
        <v/>
      </c>
      <c r="G1065" s="31" t="str">
        <f>IFERROR(VLOOKUP($B1065,テーブル12[],4,FALSE),"")</f>
        <v/>
      </c>
      <c r="H1065" s="25" t="str">
        <f t="shared" si="22"/>
        <v/>
      </c>
    </row>
    <row r="1066" spans="4:8">
      <c r="D1066" s="27" t="str">
        <f>IFERROR(VLOOKUP(A1066,テーブル11[],2,FALSE),"")</f>
        <v/>
      </c>
      <c r="E1066" s="25" t="str">
        <f>IFERROR(VLOOKUP($B1066,テーブル12[],2,FALSE),"")</f>
        <v/>
      </c>
      <c r="F1066" s="25" t="str">
        <f>IFERROR(VLOOKUP($B1066,テーブル12[],3,FALSE),"")</f>
        <v/>
      </c>
      <c r="G1066" s="31" t="str">
        <f>IFERROR(VLOOKUP($B1066,テーブル12[],4,FALSE),"")</f>
        <v/>
      </c>
      <c r="H1066" s="25" t="str">
        <f t="shared" si="22"/>
        <v/>
      </c>
    </row>
    <row r="1067" spans="4:8">
      <c r="D1067" s="27" t="str">
        <f>IFERROR(VLOOKUP(A1067,テーブル11[],2,FALSE),"")</f>
        <v/>
      </c>
      <c r="E1067" s="25" t="str">
        <f>IFERROR(VLOOKUP($B1067,テーブル12[],2,FALSE),"")</f>
        <v/>
      </c>
      <c r="F1067" s="25" t="str">
        <f>IFERROR(VLOOKUP($B1067,テーブル12[],3,FALSE),"")</f>
        <v/>
      </c>
      <c r="G1067" s="31" t="str">
        <f>IFERROR(VLOOKUP($B1067,テーブル12[],4,FALSE),"")</f>
        <v/>
      </c>
      <c r="H1067" s="25" t="str">
        <f t="shared" si="22"/>
        <v/>
      </c>
    </row>
    <row r="1068" spans="4:8">
      <c r="D1068" s="27" t="str">
        <f>IFERROR(VLOOKUP(A1068,テーブル11[],2,FALSE),"")</f>
        <v/>
      </c>
      <c r="E1068" s="25" t="str">
        <f>IFERROR(VLOOKUP($B1068,テーブル12[],2,FALSE),"")</f>
        <v/>
      </c>
      <c r="F1068" s="25" t="str">
        <f>IFERROR(VLOOKUP($B1068,テーブル12[],3,FALSE),"")</f>
        <v/>
      </c>
      <c r="G1068" s="31" t="str">
        <f>IFERROR(VLOOKUP($B1068,テーブル12[],4,FALSE),"")</f>
        <v/>
      </c>
      <c r="H1068" s="25" t="str">
        <f t="shared" si="22"/>
        <v/>
      </c>
    </row>
    <row r="1069" spans="4:8">
      <c r="D1069" s="27" t="str">
        <f>IFERROR(VLOOKUP(A1069,テーブル11[],2,FALSE),"")</f>
        <v/>
      </c>
      <c r="E1069" s="25" t="str">
        <f>IFERROR(VLOOKUP($B1069,テーブル12[],2,FALSE),"")</f>
        <v/>
      </c>
      <c r="F1069" s="25" t="str">
        <f>IFERROR(VLOOKUP($B1069,テーブル12[],3,FALSE),"")</f>
        <v/>
      </c>
      <c r="G1069" s="31" t="str">
        <f>IFERROR(VLOOKUP($B1069,テーブル12[],4,FALSE),"")</f>
        <v/>
      </c>
      <c r="H1069" s="25" t="str">
        <f t="shared" si="22"/>
        <v/>
      </c>
    </row>
    <row r="1070" spans="4:8">
      <c r="D1070" s="27" t="str">
        <f>IFERROR(VLOOKUP(A1070,テーブル11[],2,FALSE),"")</f>
        <v/>
      </c>
      <c r="E1070" s="25" t="str">
        <f>IFERROR(VLOOKUP($B1070,テーブル12[],2,FALSE),"")</f>
        <v/>
      </c>
      <c r="F1070" s="25" t="str">
        <f>IFERROR(VLOOKUP($B1070,テーブル12[],3,FALSE),"")</f>
        <v/>
      </c>
      <c r="G1070" s="31" t="str">
        <f>IFERROR(VLOOKUP($B1070,テーブル12[],4,FALSE),"")</f>
        <v/>
      </c>
      <c r="H1070" s="25" t="str">
        <f t="shared" si="22"/>
        <v/>
      </c>
    </row>
    <row r="1071" spans="4:8">
      <c r="D1071" s="27" t="str">
        <f>IFERROR(VLOOKUP(A1071,テーブル11[],2,FALSE),"")</f>
        <v/>
      </c>
      <c r="E1071" s="25" t="str">
        <f>IFERROR(VLOOKUP($B1071,テーブル12[],2,FALSE),"")</f>
        <v/>
      </c>
      <c r="F1071" s="25" t="str">
        <f>IFERROR(VLOOKUP($B1071,テーブル12[],3,FALSE),"")</f>
        <v/>
      </c>
      <c r="G1071" s="31" t="str">
        <f>IFERROR(VLOOKUP($B1071,テーブル12[],4,FALSE),"")</f>
        <v/>
      </c>
      <c r="H1071" s="25" t="str">
        <f t="shared" si="22"/>
        <v/>
      </c>
    </row>
    <row r="1072" spans="4:8">
      <c r="D1072" s="27" t="str">
        <f>IFERROR(VLOOKUP(A1072,テーブル11[],2,FALSE),"")</f>
        <v/>
      </c>
      <c r="E1072" s="25" t="str">
        <f>IFERROR(VLOOKUP($B1072,テーブル12[],2,FALSE),"")</f>
        <v/>
      </c>
      <c r="F1072" s="25" t="str">
        <f>IFERROR(VLOOKUP($B1072,テーブル12[],3,FALSE),"")</f>
        <v/>
      </c>
      <c r="G1072" s="31" t="str">
        <f>IFERROR(VLOOKUP($B1072,テーブル12[],4,FALSE),"")</f>
        <v/>
      </c>
      <c r="H1072" s="25" t="str">
        <f t="shared" si="22"/>
        <v/>
      </c>
    </row>
    <row r="1073" spans="4:8">
      <c r="D1073" s="27" t="str">
        <f>IFERROR(VLOOKUP(A1073,テーブル11[],2,FALSE),"")</f>
        <v/>
      </c>
      <c r="E1073" s="25" t="str">
        <f>IFERROR(VLOOKUP($B1073,テーブル12[],2,FALSE),"")</f>
        <v/>
      </c>
      <c r="F1073" s="25" t="str">
        <f>IFERROR(VLOOKUP($B1073,テーブル12[],3,FALSE),"")</f>
        <v/>
      </c>
      <c r="G1073" s="31" t="str">
        <f>IFERROR(VLOOKUP($B1073,テーブル12[],4,FALSE),"")</f>
        <v/>
      </c>
      <c r="H1073" s="25" t="str">
        <f t="shared" si="22"/>
        <v/>
      </c>
    </row>
    <row r="1074" spans="4:8">
      <c r="D1074" s="27" t="str">
        <f>IFERROR(VLOOKUP(A1074,テーブル11[],2,FALSE),"")</f>
        <v/>
      </c>
      <c r="E1074" s="25" t="str">
        <f>IFERROR(VLOOKUP($B1074,テーブル12[],2,FALSE),"")</f>
        <v/>
      </c>
      <c r="F1074" s="25" t="str">
        <f>IFERROR(VLOOKUP($B1074,テーブル12[],3,FALSE),"")</f>
        <v/>
      </c>
      <c r="G1074" s="31" t="str">
        <f>IFERROR(VLOOKUP($B1074,テーブル12[],4,FALSE),"")</f>
        <v/>
      </c>
      <c r="H1074" s="25" t="str">
        <f t="shared" si="22"/>
        <v/>
      </c>
    </row>
    <row r="1075" spans="4:8">
      <c r="D1075" s="27" t="str">
        <f>IFERROR(VLOOKUP(A1075,テーブル11[],2,FALSE),"")</f>
        <v/>
      </c>
      <c r="E1075" s="25" t="str">
        <f>IFERROR(VLOOKUP($B1075,テーブル12[],2,FALSE),"")</f>
        <v/>
      </c>
      <c r="F1075" s="25" t="str">
        <f>IFERROR(VLOOKUP($B1075,テーブル12[],3,FALSE),"")</f>
        <v/>
      </c>
      <c r="G1075" s="31" t="str">
        <f>IFERROR(VLOOKUP($B1075,テーブル12[],4,FALSE),"")</f>
        <v/>
      </c>
      <c r="H1075" s="25" t="str">
        <f t="shared" si="22"/>
        <v/>
      </c>
    </row>
    <row r="1076" spans="4:8">
      <c r="D1076" s="27" t="str">
        <f>IFERROR(VLOOKUP(A1076,テーブル11[],2,FALSE),"")</f>
        <v/>
      </c>
      <c r="E1076" s="25" t="str">
        <f>IFERROR(VLOOKUP($B1076,テーブル12[],2,FALSE),"")</f>
        <v/>
      </c>
      <c r="F1076" s="25" t="str">
        <f>IFERROR(VLOOKUP($B1076,テーブル12[],3,FALSE),"")</f>
        <v/>
      </c>
      <c r="G1076" s="31" t="str">
        <f>IFERROR(VLOOKUP($B1076,テーブル12[],4,FALSE),"")</f>
        <v/>
      </c>
      <c r="H1076" s="25" t="str">
        <f t="shared" si="22"/>
        <v/>
      </c>
    </row>
    <row r="1077" spans="4:8">
      <c r="D1077" s="27" t="str">
        <f>IFERROR(VLOOKUP(A1077,テーブル11[],2,FALSE),"")</f>
        <v/>
      </c>
      <c r="E1077" s="25" t="str">
        <f>IFERROR(VLOOKUP($B1077,テーブル12[],2,FALSE),"")</f>
        <v/>
      </c>
      <c r="F1077" s="25" t="str">
        <f>IFERROR(VLOOKUP($B1077,テーブル12[],3,FALSE),"")</f>
        <v/>
      </c>
      <c r="G1077" s="31" t="str">
        <f>IFERROR(VLOOKUP($B1077,テーブル12[],4,FALSE),"")</f>
        <v/>
      </c>
      <c r="H1077" s="25" t="str">
        <f t="shared" si="22"/>
        <v/>
      </c>
    </row>
    <row r="1078" spans="4:8">
      <c r="D1078" s="27" t="str">
        <f>IFERROR(VLOOKUP(A1078,テーブル11[],2,FALSE),"")</f>
        <v/>
      </c>
      <c r="E1078" s="25" t="str">
        <f>IFERROR(VLOOKUP($B1078,テーブル12[],2,FALSE),"")</f>
        <v/>
      </c>
      <c r="F1078" s="25" t="str">
        <f>IFERROR(VLOOKUP($B1078,テーブル12[],3,FALSE),"")</f>
        <v/>
      </c>
      <c r="G1078" s="31" t="str">
        <f>IFERROR(VLOOKUP($B1078,テーブル12[],4,FALSE),"")</f>
        <v/>
      </c>
      <c r="H1078" s="25" t="str">
        <f t="shared" si="22"/>
        <v/>
      </c>
    </row>
    <row r="1079" spans="4:8">
      <c r="D1079" s="27" t="str">
        <f>IFERROR(VLOOKUP(A1079,テーブル11[],2,FALSE),"")</f>
        <v/>
      </c>
      <c r="E1079" s="25" t="str">
        <f>IFERROR(VLOOKUP($B1079,テーブル12[],2,FALSE),"")</f>
        <v/>
      </c>
      <c r="F1079" s="25" t="str">
        <f>IFERROR(VLOOKUP($B1079,テーブル12[],3,FALSE),"")</f>
        <v/>
      </c>
      <c r="G1079" s="31" t="str">
        <f>IFERROR(VLOOKUP($B1079,テーブル12[],4,FALSE),"")</f>
        <v/>
      </c>
      <c r="H1079" s="25" t="str">
        <f t="shared" si="22"/>
        <v/>
      </c>
    </row>
    <row r="1080" spans="4:8">
      <c r="D1080" s="27" t="str">
        <f>IFERROR(VLOOKUP(A1080,テーブル11[],2,FALSE),"")</f>
        <v/>
      </c>
      <c r="E1080" s="25" t="str">
        <f>IFERROR(VLOOKUP($B1080,テーブル12[],2,FALSE),"")</f>
        <v/>
      </c>
      <c r="F1080" s="25" t="str">
        <f>IFERROR(VLOOKUP($B1080,テーブル12[],3,FALSE),"")</f>
        <v/>
      </c>
      <c r="G1080" s="31" t="str">
        <f>IFERROR(VLOOKUP($B1080,テーブル12[],4,FALSE),"")</f>
        <v/>
      </c>
      <c r="H1080" s="25" t="str">
        <f t="shared" si="22"/>
        <v/>
      </c>
    </row>
    <row r="1081" spans="4:8">
      <c r="D1081" s="27" t="str">
        <f>IFERROR(VLOOKUP(A1081,テーブル11[],2,FALSE),"")</f>
        <v/>
      </c>
      <c r="E1081" s="25" t="str">
        <f>IFERROR(VLOOKUP($B1081,テーブル12[],2,FALSE),"")</f>
        <v/>
      </c>
      <c r="F1081" s="25" t="str">
        <f>IFERROR(VLOOKUP($B1081,テーブル12[],3,FALSE),"")</f>
        <v/>
      </c>
      <c r="G1081" s="31" t="str">
        <f>IFERROR(VLOOKUP($B1081,テーブル12[],4,FALSE),"")</f>
        <v/>
      </c>
      <c r="H1081" s="25" t="str">
        <f t="shared" si="22"/>
        <v/>
      </c>
    </row>
    <row r="1082" spans="4:8">
      <c r="D1082" s="27" t="str">
        <f>IFERROR(VLOOKUP(A1082,テーブル11[],2,FALSE),"")</f>
        <v/>
      </c>
      <c r="E1082" s="25" t="str">
        <f>IFERROR(VLOOKUP($B1082,テーブル12[],2,FALSE),"")</f>
        <v/>
      </c>
      <c r="F1082" s="25" t="str">
        <f>IFERROR(VLOOKUP($B1082,テーブル12[],3,FALSE),"")</f>
        <v/>
      </c>
      <c r="G1082" s="31" t="str">
        <f>IFERROR(VLOOKUP($B1082,テーブル12[],4,FALSE),"")</f>
        <v/>
      </c>
      <c r="H1082" s="25" t="str">
        <f t="shared" si="22"/>
        <v/>
      </c>
    </row>
    <row r="1083" spans="4:8">
      <c r="D1083" s="27" t="str">
        <f>IFERROR(VLOOKUP(A1083,テーブル11[],2,FALSE),"")</f>
        <v/>
      </c>
      <c r="E1083" s="25" t="str">
        <f>IFERROR(VLOOKUP($B1083,テーブル12[],2,FALSE),"")</f>
        <v/>
      </c>
      <c r="F1083" s="25" t="str">
        <f>IFERROR(VLOOKUP($B1083,テーブル12[],3,FALSE),"")</f>
        <v/>
      </c>
      <c r="G1083" s="31" t="str">
        <f>IFERROR(VLOOKUP($B1083,テーブル12[],4,FALSE),"")</f>
        <v/>
      </c>
      <c r="H1083" s="25" t="str">
        <f t="shared" si="22"/>
        <v/>
      </c>
    </row>
    <row r="1084" spans="4:8">
      <c r="D1084" s="27" t="str">
        <f>IFERROR(VLOOKUP(A1084,テーブル11[],2,FALSE),"")</f>
        <v/>
      </c>
      <c r="E1084" s="25" t="str">
        <f>IFERROR(VLOOKUP($B1084,テーブル12[],2,FALSE),"")</f>
        <v/>
      </c>
      <c r="F1084" s="25" t="str">
        <f>IFERROR(VLOOKUP($B1084,テーブル12[],3,FALSE),"")</f>
        <v/>
      </c>
      <c r="G1084" s="31" t="str">
        <f>IFERROR(VLOOKUP($B1084,テーブル12[],4,FALSE),"")</f>
        <v/>
      </c>
      <c r="H1084" s="25" t="str">
        <f t="shared" si="22"/>
        <v/>
      </c>
    </row>
    <row r="1085" spans="4:8">
      <c r="D1085" s="27" t="str">
        <f>IFERROR(VLOOKUP(A1085,テーブル11[],2,FALSE),"")</f>
        <v/>
      </c>
      <c r="E1085" s="25" t="str">
        <f>IFERROR(VLOOKUP($B1085,テーブル12[],2,FALSE),"")</f>
        <v/>
      </c>
      <c r="F1085" s="25" t="str">
        <f>IFERROR(VLOOKUP($B1085,テーブル12[],3,FALSE),"")</f>
        <v/>
      </c>
      <c r="G1085" s="31" t="str">
        <f>IFERROR(VLOOKUP($B1085,テーブル12[],4,FALSE),"")</f>
        <v/>
      </c>
      <c r="H1085" s="25" t="str">
        <f t="shared" si="22"/>
        <v/>
      </c>
    </row>
    <row r="1086" spans="4:8">
      <c r="D1086" s="27" t="str">
        <f>IFERROR(VLOOKUP(A1086,テーブル11[],2,FALSE),"")</f>
        <v/>
      </c>
      <c r="E1086" s="25" t="str">
        <f>IFERROR(VLOOKUP($B1086,テーブル12[],2,FALSE),"")</f>
        <v/>
      </c>
      <c r="F1086" s="25" t="str">
        <f>IFERROR(VLOOKUP($B1086,テーブル12[],3,FALSE),"")</f>
        <v/>
      </c>
      <c r="G1086" s="31" t="str">
        <f>IFERROR(VLOOKUP($B1086,テーブル12[],4,FALSE),"")</f>
        <v/>
      </c>
      <c r="H1086" s="25" t="str">
        <f t="shared" si="22"/>
        <v/>
      </c>
    </row>
    <row r="1087" spans="4:8">
      <c r="D1087" s="27" t="str">
        <f>IFERROR(VLOOKUP(A1087,テーブル11[],2,FALSE),"")</f>
        <v/>
      </c>
      <c r="E1087" s="25" t="str">
        <f>IFERROR(VLOOKUP($B1087,テーブル12[],2,FALSE),"")</f>
        <v/>
      </c>
      <c r="F1087" s="25" t="str">
        <f>IFERROR(VLOOKUP($B1087,テーブル12[],3,FALSE),"")</f>
        <v/>
      </c>
      <c r="G1087" s="31" t="str">
        <f>IFERROR(VLOOKUP($B1087,テーブル12[],4,FALSE),"")</f>
        <v/>
      </c>
      <c r="H1087" s="25" t="str">
        <f t="shared" si="22"/>
        <v/>
      </c>
    </row>
    <row r="1088" spans="4:8">
      <c r="D1088" s="27" t="str">
        <f>IFERROR(VLOOKUP(A1088,テーブル11[],2,FALSE),"")</f>
        <v/>
      </c>
      <c r="E1088" s="25" t="str">
        <f>IFERROR(VLOOKUP($B1088,テーブル12[],2,FALSE),"")</f>
        <v/>
      </c>
      <c r="F1088" s="25" t="str">
        <f>IFERROR(VLOOKUP($B1088,テーブル12[],3,FALSE),"")</f>
        <v/>
      </c>
      <c r="G1088" s="31" t="str">
        <f>IFERROR(VLOOKUP($B1088,テーブル12[],4,FALSE),"")</f>
        <v/>
      </c>
      <c r="H1088" s="25" t="str">
        <f t="shared" si="22"/>
        <v/>
      </c>
    </row>
    <row r="1089" spans="4:8">
      <c r="D1089" s="27" t="str">
        <f>IFERROR(VLOOKUP(A1089,テーブル11[],2,FALSE),"")</f>
        <v/>
      </c>
      <c r="E1089" s="25" t="str">
        <f>IFERROR(VLOOKUP($B1089,テーブル12[],2,FALSE),"")</f>
        <v/>
      </c>
      <c r="F1089" s="25" t="str">
        <f>IFERROR(VLOOKUP($B1089,テーブル12[],3,FALSE),"")</f>
        <v/>
      </c>
      <c r="G1089" s="31" t="str">
        <f>IFERROR(VLOOKUP($B1089,テーブル12[],4,FALSE),"")</f>
        <v/>
      </c>
      <c r="H1089" s="25" t="str">
        <f t="shared" si="22"/>
        <v/>
      </c>
    </row>
    <row r="1090" spans="4:8">
      <c r="D1090" s="27" t="str">
        <f>IFERROR(VLOOKUP(A1090,テーブル11[],2,FALSE),"")</f>
        <v/>
      </c>
      <c r="E1090" s="25" t="str">
        <f>IFERROR(VLOOKUP($B1090,テーブル12[],2,FALSE),"")</f>
        <v/>
      </c>
      <c r="F1090" s="25" t="str">
        <f>IFERROR(VLOOKUP($B1090,テーブル12[],3,FALSE),"")</f>
        <v/>
      </c>
      <c r="G1090" s="31" t="str">
        <f>IFERROR(VLOOKUP($B1090,テーブル12[],4,FALSE),"")</f>
        <v/>
      </c>
      <c r="H1090" s="25" t="str">
        <f t="shared" ref="H1090:H1153" si="23">IF(C1090=0,"",C1090)</f>
        <v/>
      </c>
    </row>
    <row r="1091" spans="4:8">
      <c r="D1091" s="27" t="str">
        <f>IFERROR(VLOOKUP(A1091,テーブル11[],2,FALSE),"")</f>
        <v/>
      </c>
      <c r="E1091" s="25" t="str">
        <f>IFERROR(VLOOKUP($B1091,テーブル12[],2,FALSE),"")</f>
        <v/>
      </c>
      <c r="F1091" s="25" t="str">
        <f>IFERROR(VLOOKUP($B1091,テーブル12[],3,FALSE),"")</f>
        <v/>
      </c>
      <c r="G1091" s="31" t="str">
        <f>IFERROR(VLOOKUP($B1091,テーブル12[],4,FALSE),"")</f>
        <v/>
      </c>
      <c r="H1091" s="25" t="str">
        <f t="shared" si="23"/>
        <v/>
      </c>
    </row>
    <row r="1092" spans="4:8">
      <c r="D1092" s="27" t="str">
        <f>IFERROR(VLOOKUP(A1092,テーブル11[],2,FALSE),"")</f>
        <v/>
      </c>
      <c r="E1092" s="25" t="str">
        <f>IFERROR(VLOOKUP($B1092,テーブル12[],2,FALSE),"")</f>
        <v/>
      </c>
      <c r="F1092" s="25" t="str">
        <f>IFERROR(VLOOKUP($B1092,テーブル12[],3,FALSE),"")</f>
        <v/>
      </c>
      <c r="G1092" s="31" t="str">
        <f>IFERROR(VLOOKUP($B1092,テーブル12[],4,FALSE),"")</f>
        <v/>
      </c>
      <c r="H1092" s="25" t="str">
        <f t="shared" si="23"/>
        <v/>
      </c>
    </row>
    <row r="1093" spans="4:8">
      <c r="D1093" s="27" t="str">
        <f>IFERROR(VLOOKUP(A1093,テーブル11[],2,FALSE),"")</f>
        <v/>
      </c>
      <c r="E1093" s="25" t="str">
        <f>IFERROR(VLOOKUP($B1093,テーブル12[],2,FALSE),"")</f>
        <v/>
      </c>
      <c r="F1093" s="25" t="str">
        <f>IFERROR(VLOOKUP($B1093,テーブル12[],3,FALSE),"")</f>
        <v/>
      </c>
      <c r="G1093" s="31" t="str">
        <f>IFERROR(VLOOKUP($B1093,テーブル12[],4,FALSE),"")</f>
        <v/>
      </c>
      <c r="H1093" s="25" t="str">
        <f t="shared" si="23"/>
        <v/>
      </c>
    </row>
    <row r="1094" spans="4:8">
      <c r="D1094" s="27" t="str">
        <f>IFERROR(VLOOKUP(A1094,テーブル11[],2,FALSE),"")</f>
        <v/>
      </c>
      <c r="E1094" s="25" t="str">
        <f>IFERROR(VLOOKUP($B1094,テーブル12[],2,FALSE),"")</f>
        <v/>
      </c>
      <c r="F1094" s="25" t="str">
        <f>IFERROR(VLOOKUP($B1094,テーブル12[],3,FALSE),"")</f>
        <v/>
      </c>
      <c r="G1094" s="31" t="str">
        <f>IFERROR(VLOOKUP($B1094,テーブル12[],4,FALSE),"")</f>
        <v/>
      </c>
      <c r="H1094" s="25" t="str">
        <f t="shared" si="23"/>
        <v/>
      </c>
    </row>
    <row r="1095" spans="4:8">
      <c r="D1095" s="27" t="str">
        <f>IFERROR(VLOOKUP(A1095,テーブル11[],2,FALSE),"")</f>
        <v/>
      </c>
      <c r="E1095" s="25" t="str">
        <f>IFERROR(VLOOKUP($B1095,テーブル12[],2,FALSE),"")</f>
        <v/>
      </c>
      <c r="F1095" s="25" t="str">
        <f>IFERROR(VLOOKUP($B1095,テーブル12[],3,FALSE),"")</f>
        <v/>
      </c>
      <c r="G1095" s="31" t="str">
        <f>IFERROR(VLOOKUP($B1095,テーブル12[],4,FALSE),"")</f>
        <v/>
      </c>
      <c r="H1095" s="25" t="str">
        <f t="shared" si="23"/>
        <v/>
      </c>
    </row>
    <row r="1096" spans="4:8">
      <c r="D1096" s="27" t="str">
        <f>IFERROR(VLOOKUP(A1096,テーブル11[],2,FALSE),"")</f>
        <v/>
      </c>
      <c r="E1096" s="25" t="str">
        <f>IFERROR(VLOOKUP($B1096,テーブル12[],2,FALSE),"")</f>
        <v/>
      </c>
      <c r="F1096" s="25" t="str">
        <f>IFERROR(VLOOKUP($B1096,テーブル12[],3,FALSE),"")</f>
        <v/>
      </c>
      <c r="G1096" s="31" t="str">
        <f>IFERROR(VLOOKUP($B1096,テーブル12[],4,FALSE),"")</f>
        <v/>
      </c>
      <c r="H1096" s="25" t="str">
        <f t="shared" si="23"/>
        <v/>
      </c>
    </row>
    <row r="1097" spans="4:8">
      <c r="D1097" s="27" t="str">
        <f>IFERROR(VLOOKUP(A1097,テーブル11[],2,FALSE),"")</f>
        <v/>
      </c>
      <c r="E1097" s="25" t="str">
        <f>IFERROR(VLOOKUP($B1097,テーブル12[],2,FALSE),"")</f>
        <v/>
      </c>
      <c r="F1097" s="25" t="str">
        <f>IFERROR(VLOOKUP($B1097,テーブル12[],3,FALSE),"")</f>
        <v/>
      </c>
      <c r="G1097" s="31" t="str">
        <f>IFERROR(VLOOKUP($B1097,テーブル12[],4,FALSE),"")</f>
        <v/>
      </c>
      <c r="H1097" s="25" t="str">
        <f t="shared" si="23"/>
        <v/>
      </c>
    </row>
    <row r="1098" spans="4:8">
      <c r="D1098" s="27" t="str">
        <f>IFERROR(VLOOKUP(A1098,テーブル11[],2,FALSE),"")</f>
        <v/>
      </c>
      <c r="E1098" s="25" t="str">
        <f>IFERROR(VLOOKUP($B1098,テーブル12[],2,FALSE),"")</f>
        <v/>
      </c>
      <c r="F1098" s="25" t="str">
        <f>IFERROR(VLOOKUP($B1098,テーブル12[],3,FALSE),"")</f>
        <v/>
      </c>
      <c r="G1098" s="31" t="str">
        <f>IFERROR(VLOOKUP($B1098,テーブル12[],4,FALSE),"")</f>
        <v/>
      </c>
      <c r="H1098" s="25" t="str">
        <f t="shared" si="23"/>
        <v/>
      </c>
    </row>
    <row r="1099" spans="4:8">
      <c r="D1099" s="27" t="str">
        <f>IFERROR(VLOOKUP(A1099,テーブル11[],2,FALSE),"")</f>
        <v/>
      </c>
      <c r="E1099" s="25" t="str">
        <f>IFERROR(VLOOKUP($B1099,テーブル12[],2,FALSE),"")</f>
        <v/>
      </c>
      <c r="F1099" s="25" t="str">
        <f>IFERROR(VLOOKUP($B1099,テーブル12[],3,FALSE),"")</f>
        <v/>
      </c>
      <c r="G1099" s="31" t="str">
        <f>IFERROR(VLOOKUP($B1099,テーブル12[],4,FALSE),"")</f>
        <v/>
      </c>
      <c r="H1099" s="25" t="str">
        <f t="shared" si="23"/>
        <v/>
      </c>
    </row>
    <row r="1100" spans="4:8">
      <c r="D1100" s="27" t="str">
        <f>IFERROR(VLOOKUP(A1100,テーブル11[],2,FALSE),"")</f>
        <v/>
      </c>
      <c r="E1100" s="25" t="str">
        <f>IFERROR(VLOOKUP($B1100,テーブル12[],2,FALSE),"")</f>
        <v/>
      </c>
      <c r="F1100" s="25" t="str">
        <f>IFERROR(VLOOKUP($B1100,テーブル12[],3,FALSE),"")</f>
        <v/>
      </c>
      <c r="G1100" s="31" t="str">
        <f>IFERROR(VLOOKUP($B1100,テーブル12[],4,FALSE),"")</f>
        <v/>
      </c>
      <c r="H1100" s="25" t="str">
        <f t="shared" si="23"/>
        <v/>
      </c>
    </row>
    <row r="1101" spans="4:8">
      <c r="D1101" s="27" t="str">
        <f>IFERROR(VLOOKUP(A1101,テーブル11[],2,FALSE),"")</f>
        <v/>
      </c>
      <c r="E1101" s="25" t="str">
        <f>IFERROR(VLOOKUP($B1101,テーブル12[],2,FALSE),"")</f>
        <v/>
      </c>
      <c r="F1101" s="25" t="str">
        <f>IFERROR(VLOOKUP($B1101,テーブル12[],3,FALSE),"")</f>
        <v/>
      </c>
      <c r="G1101" s="31" t="str">
        <f>IFERROR(VLOOKUP($B1101,テーブル12[],4,FALSE),"")</f>
        <v/>
      </c>
      <c r="H1101" s="25" t="str">
        <f t="shared" si="23"/>
        <v/>
      </c>
    </row>
    <row r="1102" spans="4:8">
      <c r="D1102" s="27" t="str">
        <f>IFERROR(VLOOKUP(A1102,テーブル11[],2,FALSE),"")</f>
        <v/>
      </c>
      <c r="E1102" s="25" t="str">
        <f>IFERROR(VLOOKUP($B1102,テーブル12[],2,FALSE),"")</f>
        <v/>
      </c>
      <c r="F1102" s="25" t="str">
        <f>IFERROR(VLOOKUP($B1102,テーブル12[],3,FALSE),"")</f>
        <v/>
      </c>
      <c r="G1102" s="31" t="str">
        <f>IFERROR(VLOOKUP($B1102,テーブル12[],4,FALSE),"")</f>
        <v/>
      </c>
      <c r="H1102" s="25" t="str">
        <f t="shared" si="23"/>
        <v/>
      </c>
    </row>
    <row r="1103" spans="4:8">
      <c r="D1103" s="27" t="str">
        <f>IFERROR(VLOOKUP(A1103,テーブル11[],2,FALSE),"")</f>
        <v/>
      </c>
      <c r="E1103" s="25" t="str">
        <f>IFERROR(VLOOKUP($B1103,テーブル12[],2,FALSE),"")</f>
        <v/>
      </c>
      <c r="F1103" s="25" t="str">
        <f>IFERROR(VLOOKUP($B1103,テーブル12[],3,FALSE),"")</f>
        <v/>
      </c>
      <c r="G1103" s="31" t="str">
        <f>IFERROR(VLOOKUP($B1103,テーブル12[],4,FALSE),"")</f>
        <v/>
      </c>
      <c r="H1103" s="25" t="str">
        <f t="shared" si="23"/>
        <v/>
      </c>
    </row>
    <row r="1104" spans="4:8">
      <c r="D1104" s="27" t="str">
        <f>IFERROR(VLOOKUP(A1104,テーブル11[],2,FALSE),"")</f>
        <v/>
      </c>
      <c r="E1104" s="25" t="str">
        <f>IFERROR(VLOOKUP($B1104,テーブル12[],2,FALSE),"")</f>
        <v/>
      </c>
      <c r="F1104" s="25" t="str">
        <f>IFERROR(VLOOKUP($B1104,テーブル12[],3,FALSE),"")</f>
        <v/>
      </c>
      <c r="G1104" s="31" t="str">
        <f>IFERROR(VLOOKUP($B1104,テーブル12[],4,FALSE),"")</f>
        <v/>
      </c>
      <c r="H1104" s="25" t="str">
        <f t="shared" si="23"/>
        <v/>
      </c>
    </row>
    <row r="1105" spans="4:8">
      <c r="D1105" s="27" t="str">
        <f>IFERROR(VLOOKUP(A1105,テーブル11[],2,FALSE),"")</f>
        <v/>
      </c>
      <c r="E1105" s="25" t="str">
        <f>IFERROR(VLOOKUP($B1105,テーブル12[],2,FALSE),"")</f>
        <v/>
      </c>
      <c r="F1105" s="25" t="str">
        <f>IFERROR(VLOOKUP($B1105,テーブル12[],3,FALSE),"")</f>
        <v/>
      </c>
      <c r="G1105" s="31" t="str">
        <f>IFERROR(VLOOKUP($B1105,テーブル12[],4,FALSE),"")</f>
        <v/>
      </c>
      <c r="H1105" s="25" t="str">
        <f t="shared" si="23"/>
        <v/>
      </c>
    </row>
    <row r="1106" spans="4:8">
      <c r="D1106" s="27" t="str">
        <f>IFERROR(VLOOKUP(A1106,テーブル11[],2,FALSE),"")</f>
        <v/>
      </c>
      <c r="E1106" s="25" t="str">
        <f>IFERROR(VLOOKUP($B1106,テーブル12[],2,FALSE),"")</f>
        <v/>
      </c>
      <c r="F1106" s="25" t="str">
        <f>IFERROR(VLOOKUP($B1106,テーブル12[],3,FALSE),"")</f>
        <v/>
      </c>
      <c r="G1106" s="31" t="str">
        <f>IFERROR(VLOOKUP($B1106,テーブル12[],4,FALSE),"")</f>
        <v/>
      </c>
      <c r="H1106" s="25" t="str">
        <f t="shared" si="23"/>
        <v/>
      </c>
    </row>
    <row r="1107" spans="4:8">
      <c r="D1107" s="27" t="str">
        <f>IFERROR(VLOOKUP(A1107,テーブル11[],2,FALSE),"")</f>
        <v/>
      </c>
      <c r="E1107" s="25" t="str">
        <f>IFERROR(VLOOKUP($B1107,テーブル12[],2,FALSE),"")</f>
        <v/>
      </c>
      <c r="F1107" s="25" t="str">
        <f>IFERROR(VLOOKUP($B1107,テーブル12[],3,FALSE),"")</f>
        <v/>
      </c>
      <c r="G1107" s="31" t="str">
        <f>IFERROR(VLOOKUP($B1107,テーブル12[],4,FALSE),"")</f>
        <v/>
      </c>
      <c r="H1107" s="25" t="str">
        <f t="shared" si="23"/>
        <v/>
      </c>
    </row>
    <row r="1108" spans="4:8">
      <c r="D1108" s="27" t="str">
        <f>IFERROR(VLOOKUP(A1108,テーブル11[],2,FALSE),"")</f>
        <v/>
      </c>
      <c r="E1108" s="25" t="str">
        <f>IFERROR(VLOOKUP($B1108,テーブル12[],2,FALSE),"")</f>
        <v/>
      </c>
      <c r="F1108" s="25" t="str">
        <f>IFERROR(VLOOKUP($B1108,テーブル12[],3,FALSE),"")</f>
        <v/>
      </c>
      <c r="G1108" s="31" t="str">
        <f>IFERROR(VLOOKUP($B1108,テーブル12[],4,FALSE),"")</f>
        <v/>
      </c>
      <c r="H1108" s="25" t="str">
        <f t="shared" si="23"/>
        <v/>
      </c>
    </row>
    <row r="1109" spans="4:8">
      <c r="D1109" s="27" t="str">
        <f>IFERROR(VLOOKUP(A1109,テーブル11[],2,FALSE),"")</f>
        <v/>
      </c>
      <c r="E1109" s="25" t="str">
        <f>IFERROR(VLOOKUP($B1109,テーブル12[],2,FALSE),"")</f>
        <v/>
      </c>
      <c r="F1109" s="25" t="str">
        <f>IFERROR(VLOOKUP($B1109,テーブル12[],3,FALSE),"")</f>
        <v/>
      </c>
      <c r="G1109" s="31" t="str">
        <f>IFERROR(VLOOKUP($B1109,テーブル12[],4,FALSE),"")</f>
        <v/>
      </c>
      <c r="H1109" s="25" t="str">
        <f t="shared" si="23"/>
        <v/>
      </c>
    </row>
    <row r="1110" spans="4:8">
      <c r="D1110" s="27" t="str">
        <f>IFERROR(VLOOKUP(A1110,テーブル11[],2,FALSE),"")</f>
        <v/>
      </c>
      <c r="E1110" s="25" t="str">
        <f>IFERROR(VLOOKUP($B1110,テーブル12[],2,FALSE),"")</f>
        <v/>
      </c>
      <c r="F1110" s="25" t="str">
        <f>IFERROR(VLOOKUP($B1110,テーブル12[],3,FALSE),"")</f>
        <v/>
      </c>
      <c r="G1110" s="31" t="str">
        <f>IFERROR(VLOOKUP($B1110,テーブル12[],4,FALSE),"")</f>
        <v/>
      </c>
      <c r="H1110" s="25" t="str">
        <f t="shared" si="23"/>
        <v/>
      </c>
    </row>
    <row r="1111" spans="4:8">
      <c r="D1111" s="27" t="str">
        <f>IFERROR(VLOOKUP(A1111,テーブル11[],2,FALSE),"")</f>
        <v/>
      </c>
      <c r="E1111" s="25" t="str">
        <f>IFERROR(VLOOKUP($B1111,テーブル12[],2,FALSE),"")</f>
        <v/>
      </c>
      <c r="F1111" s="25" t="str">
        <f>IFERROR(VLOOKUP($B1111,テーブル12[],3,FALSE),"")</f>
        <v/>
      </c>
      <c r="G1111" s="31" t="str">
        <f>IFERROR(VLOOKUP($B1111,テーブル12[],4,FALSE),"")</f>
        <v/>
      </c>
      <c r="H1111" s="25" t="str">
        <f t="shared" si="23"/>
        <v/>
      </c>
    </row>
    <row r="1112" spans="4:8">
      <c r="D1112" s="27" t="str">
        <f>IFERROR(VLOOKUP(A1112,テーブル11[],2,FALSE),"")</f>
        <v/>
      </c>
      <c r="E1112" s="25" t="str">
        <f>IFERROR(VLOOKUP($B1112,テーブル12[],2,FALSE),"")</f>
        <v/>
      </c>
      <c r="F1112" s="25" t="str">
        <f>IFERROR(VLOOKUP($B1112,テーブル12[],3,FALSE),"")</f>
        <v/>
      </c>
      <c r="G1112" s="31" t="str">
        <f>IFERROR(VLOOKUP($B1112,テーブル12[],4,FALSE),"")</f>
        <v/>
      </c>
      <c r="H1112" s="25" t="str">
        <f t="shared" si="23"/>
        <v/>
      </c>
    </row>
    <row r="1113" spans="4:8">
      <c r="D1113" s="27" t="str">
        <f>IFERROR(VLOOKUP(A1113,テーブル11[],2,FALSE),"")</f>
        <v/>
      </c>
      <c r="E1113" s="25" t="str">
        <f>IFERROR(VLOOKUP($B1113,テーブル12[],2,FALSE),"")</f>
        <v/>
      </c>
      <c r="F1113" s="25" t="str">
        <f>IFERROR(VLOOKUP($B1113,テーブル12[],3,FALSE),"")</f>
        <v/>
      </c>
      <c r="G1113" s="31" t="str">
        <f>IFERROR(VLOOKUP($B1113,テーブル12[],4,FALSE),"")</f>
        <v/>
      </c>
      <c r="H1113" s="25" t="str">
        <f t="shared" si="23"/>
        <v/>
      </c>
    </row>
    <row r="1114" spans="4:8">
      <c r="D1114" s="27" t="str">
        <f>IFERROR(VLOOKUP(A1114,テーブル11[],2,FALSE),"")</f>
        <v/>
      </c>
      <c r="E1114" s="25" t="str">
        <f>IFERROR(VLOOKUP($B1114,テーブル12[],2,FALSE),"")</f>
        <v/>
      </c>
      <c r="F1114" s="25" t="str">
        <f>IFERROR(VLOOKUP($B1114,テーブル12[],3,FALSE),"")</f>
        <v/>
      </c>
      <c r="G1114" s="31" t="str">
        <f>IFERROR(VLOOKUP($B1114,テーブル12[],4,FALSE),"")</f>
        <v/>
      </c>
      <c r="H1114" s="25" t="str">
        <f t="shared" si="23"/>
        <v/>
      </c>
    </row>
    <row r="1115" spans="4:8">
      <c r="D1115" s="27" t="str">
        <f>IFERROR(VLOOKUP(A1115,テーブル11[],2,FALSE),"")</f>
        <v/>
      </c>
      <c r="E1115" s="25" t="str">
        <f>IFERROR(VLOOKUP($B1115,テーブル12[],2,FALSE),"")</f>
        <v/>
      </c>
      <c r="F1115" s="25" t="str">
        <f>IFERROR(VLOOKUP($B1115,テーブル12[],3,FALSE),"")</f>
        <v/>
      </c>
      <c r="G1115" s="31" t="str">
        <f>IFERROR(VLOOKUP($B1115,テーブル12[],4,FALSE),"")</f>
        <v/>
      </c>
      <c r="H1115" s="25" t="str">
        <f t="shared" si="23"/>
        <v/>
      </c>
    </row>
    <row r="1116" spans="4:8">
      <c r="D1116" s="27" t="str">
        <f>IFERROR(VLOOKUP(A1116,テーブル11[],2,FALSE),"")</f>
        <v/>
      </c>
      <c r="E1116" s="25" t="str">
        <f>IFERROR(VLOOKUP($B1116,テーブル12[],2,FALSE),"")</f>
        <v/>
      </c>
      <c r="F1116" s="25" t="str">
        <f>IFERROR(VLOOKUP($B1116,テーブル12[],3,FALSE),"")</f>
        <v/>
      </c>
      <c r="G1116" s="31" t="str">
        <f>IFERROR(VLOOKUP($B1116,テーブル12[],4,FALSE),"")</f>
        <v/>
      </c>
      <c r="H1116" s="25" t="str">
        <f t="shared" si="23"/>
        <v/>
      </c>
    </row>
    <row r="1117" spans="4:8">
      <c r="D1117" s="27" t="str">
        <f>IFERROR(VLOOKUP(A1117,テーブル11[],2,FALSE),"")</f>
        <v/>
      </c>
      <c r="E1117" s="25" t="str">
        <f>IFERROR(VLOOKUP($B1117,テーブル12[],2,FALSE),"")</f>
        <v/>
      </c>
      <c r="F1117" s="25" t="str">
        <f>IFERROR(VLOOKUP($B1117,テーブル12[],3,FALSE),"")</f>
        <v/>
      </c>
      <c r="G1117" s="31" t="str">
        <f>IFERROR(VLOOKUP($B1117,テーブル12[],4,FALSE),"")</f>
        <v/>
      </c>
      <c r="H1117" s="25" t="str">
        <f t="shared" si="23"/>
        <v/>
      </c>
    </row>
    <row r="1118" spans="4:8">
      <c r="D1118" s="27" t="str">
        <f>IFERROR(VLOOKUP(A1118,テーブル11[],2,FALSE),"")</f>
        <v/>
      </c>
      <c r="E1118" s="25" t="str">
        <f>IFERROR(VLOOKUP($B1118,テーブル12[],2,FALSE),"")</f>
        <v/>
      </c>
      <c r="F1118" s="25" t="str">
        <f>IFERROR(VLOOKUP($B1118,テーブル12[],3,FALSE),"")</f>
        <v/>
      </c>
      <c r="G1118" s="31" t="str">
        <f>IFERROR(VLOOKUP($B1118,テーブル12[],4,FALSE),"")</f>
        <v/>
      </c>
      <c r="H1118" s="25" t="str">
        <f t="shared" si="23"/>
        <v/>
      </c>
    </row>
    <row r="1119" spans="4:8">
      <c r="D1119" s="27" t="str">
        <f>IFERROR(VLOOKUP(A1119,テーブル11[],2,FALSE),"")</f>
        <v/>
      </c>
      <c r="E1119" s="25" t="str">
        <f>IFERROR(VLOOKUP($B1119,テーブル12[],2,FALSE),"")</f>
        <v/>
      </c>
      <c r="F1119" s="25" t="str">
        <f>IFERROR(VLOOKUP($B1119,テーブル12[],3,FALSE),"")</f>
        <v/>
      </c>
      <c r="G1119" s="31" t="str">
        <f>IFERROR(VLOOKUP($B1119,テーブル12[],4,FALSE),"")</f>
        <v/>
      </c>
      <c r="H1119" s="25" t="str">
        <f t="shared" si="23"/>
        <v/>
      </c>
    </row>
    <row r="1120" spans="4:8">
      <c r="D1120" s="27" t="str">
        <f>IFERROR(VLOOKUP(A1120,テーブル11[],2,FALSE),"")</f>
        <v/>
      </c>
      <c r="E1120" s="25" t="str">
        <f>IFERROR(VLOOKUP($B1120,テーブル12[],2,FALSE),"")</f>
        <v/>
      </c>
      <c r="F1120" s="25" t="str">
        <f>IFERROR(VLOOKUP($B1120,テーブル12[],3,FALSE),"")</f>
        <v/>
      </c>
      <c r="G1120" s="31" t="str">
        <f>IFERROR(VLOOKUP($B1120,テーブル12[],4,FALSE),"")</f>
        <v/>
      </c>
      <c r="H1120" s="25" t="str">
        <f t="shared" si="23"/>
        <v/>
      </c>
    </row>
    <row r="1121" spans="4:8">
      <c r="D1121" s="27" t="str">
        <f>IFERROR(VLOOKUP(A1121,テーブル11[],2,FALSE),"")</f>
        <v/>
      </c>
      <c r="E1121" s="25" t="str">
        <f>IFERROR(VLOOKUP($B1121,テーブル12[],2,FALSE),"")</f>
        <v/>
      </c>
      <c r="F1121" s="25" t="str">
        <f>IFERROR(VLOOKUP($B1121,テーブル12[],3,FALSE),"")</f>
        <v/>
      </c>
      <c r="G1121" s="31" t="str">
        <f>IFERROR(VLOOKUP($B1121,テーブル12[],4,FALSE),"")</f>
        <v/>
      </c>
      <c r="H1121" s="25" t="str">
        <f t="shared" si="23"/>
        <v/>
      </c>
    </row>
    <row r="1122" spans="4:8">
      <c r="D1122" s="27" t="str">
        <f>IFERROR(VLOOKUP(A1122,テーブル11[],2,FALSE),"")</f>
        <v/>
      </c>
      <c r="E1122" s="25" t="str">
        <f>IFERROR(VLOOKUP($B1122,テーブル12[],2,FALSE),"")</f>
        <v/>
      </c>
      <c r="F1122" s="25" t="str">
        <f>IFERROR(VLOOKUP($B1122,テーブル12[],3,FALSE),"")</f>
        <v/>
      </c>
      <c r="G1122" s="31" t="str">
        <f>IFERROR(VLOOKUP($B1122,テーブル12[],4,FALSE),"")</f>
        <v/>
      </c>
      <c r="H1122" s="25" t="str">
        <f t="shared" si="23"/>
        <v/>
      </c>
    </row>
    <row r="1123" spans="4:8">
      <c r="D1123" s="27" t="str">
        <f>IFERROR(VLOOKUP(A1123,テーブル11[],2,FALSE),"")</f>
        <v/>
      </c>
      <c r="E1123" s="25" t="str">
        <f>IFERROR(VLOOKUP($B1123,テーブル12[],2,FALSE),"")</f>
        <v/>
      </c>
      <c r="F1123" s="25" t="str">
        <f>IFERROR(VLOOKUP($B1123,テーブル12[],3,FALSE),"")</f>
        <v/>
      </c>
      <c r="G1123" s="31" t="str">
        <f>IFERROR(VLOOKUP($B1123,テーブル12[],4,FALSE),"")</f>
        <v/>
      </c>
      <c r="H1123" s="25" t="str">
        <f t="shared" si="23"/>
        <v/>
      </c>
    </row>
    <row r="1124" spans="4:8">
      <c r="D1124" s="27" t="str">
        <f>IFERROR(VLOOKUP(A1124,テーブル11[],2,FALSE),"")</f>
        <v/>
      </c>
      <c r="E1124" s="25" t="str">
        <f>IFERROR(VLOOKUP($B1124,テーブル12[],2,FALSE),"")</f>
        <v/>
      </c>
      <c r="F1124" s="25" t="str">
        <f>IFERROR(VLOOKUP($B1124,テーブル12[],3,FALSE),"")</f>
        <v/>
      </c>
      <c r="G1124" s="31" t="str">
        <f>IFERROR(VLOOKUP($B1124,テーブル12[],4,FALSE),"")</f>
        <v/>
      </c>
      <c r="H1124" s="25" t="str">
        <f t="shared" si="23"/>
        <v/>
      </c>
    </row>
    <row r="1125" spans="4:8">
      <c r="D1125" s="27" t="str">
        <f>IFERROR(VLOOKUP(A1125,テーブル11[],2,FALSE),"")</f>
        <v/>
      </c>
      <c r="E1125" s="25" t="str">
        <f>IFERROR(VLOOKUP($B1125,テーブル12[],2,FALSE),"")</f>
        <v/>
      </c>
      <c r="F1125" s="25" t="str">
        <f>IFERROR(VLOOKUP($B1125,テーブル12[],3,FALSE),"")</f>
        <v/>
      </c>
      <c r="G1125" s="31" t="str">
        <f>IFERROR(VLOOKUP($B1125,テーブル12[],4,FALSE),"")</f>
        <v/>
      </c>
      <c r="H1125" s="25" t="str">
        <f t="shared" si="23"/>
        <v/>
      </c>
    </row>
    <row r="1126" spans="4:8">
      <c r="D1126" s="27" t="str">
        <f>IFERROR(VLOOKUP(A1126,テーブル11[],2,FALSE),"")</f>
        <v/>
      </c>
      <c r="E1126" s="25" t="str">
        <f>IFERROR(VLOOKUP($B1126,テーブル12[],2,FALSE),"")</f>
        <v/>
      </c>
      <c r="F1126" s="25" t="str">
        <f>IFERROR(VLOOKUP($B1126,テーブル12[],3,FALSE),"")</f>
        <v/>
      </c>
      <c r="G1126" s="31" t="str">
        <f>IFERROR(VLOOKUP($B1126,テーブル12[],4,FALSE),"")</f>
        <v/>
      </c>
      <c r="H1126" s="25" t="str">
        <f t="shared" si="23"/>
        <v/>
      </c>
    </row>
    <row r="1127" spans="4:8">
      <c r="D1127" s="27" t="str">
        <f>IFERROR(VLOOKUP(A1127,テーブル11[],2,FALSE),"")</f>
        <v/>
      </c>
      <c r="E1127" s="25" t="str">
        <f>IFERROR(VLOOKUP($B1127,テーブル12[],2,FALSE),"")</f>
        <v/>
      </c>
      <c r="F1127" s="25" t="str">
        <f>IFERROR(VLOOKUP($B1127,テーブル12[],3,FALSE),"")</f>
        <v/>
      </c>
      <c r="G1127" s="31" t="str">
        <f>IFERROR(VLOOKUP($B1127,テーブル12[],4,FALSE),"")</f>
        <v/>
      </c>
      <c r="H1127" s="25" t="str">
        <f t="shared" si="23"/>
        <v/>
      </c>
    </row>
    <row r="1128" spans="4:8">
      <c r="D1128" s="27" t="str">
        <f>IFERROR(VLOOKUP(A1128,テーブル11[],2,FALSE),"")</f>
        <v/>
      </c>
      <c r="E1128" s="25" t="str">
        <f>IFERROR(VLOOKUP($B1128,テーブル12[],2,FALSE),"")</f>
        <v/>
      </c>
      <c r="F1128" s="25" t="str">
        <f>IFERROR(VLOOKUP($B1128,テーブル12[],3,FALSE),"")</f>
        <v/>
      </c>
      <c r="G1128" s="31" t="str">
        <f>IFERROR(VLOOKUP($B1128,テーブル12[],4,FALSE),"")</f>
        <v/>
      </c>
      <c r="H1128" s="25" t="str">
        <f t="shared" si="23"/>
        <v/>
      </c>
    </row>
    <row r="1129" spans="4:8">
      <c r="D1129" s="27" t="str">
        <f>IFERROR(VLOOKUP(A1129,テーブル11[],2,FALSE),"")</f>
        <v/>
      </c>
      <c r="E1129" s="25" t="str">
        <f>IFERROR(VLOOKUP($B1129,テーブル12[],2,FALSE),"")</f>
        <v/>
      </c>
      <c r="F1129" s="25" t="str">
        <f>IFERROR(VLOOKUP($B1129,テーブル12[],3,FALSE),"")</f>
        <v/>
      </c>
      <c r="G1129" s="31" t="str">
        <f>IFERROR(VLOOKUP($B1129,テーブル12[],4,FALSE),"")</f>
        <v/>
      </c>
      <c r="H1129" s="25" t="str">
        <f t="shared" si="23"/>
        <v/>
      </c>
    </row>
    <row r="1130" spans="4:8">
      <c r="D1130" s="27" t="str">
        <f>IFERROR(VLOOKUP(A1130,テーブル11[],2,FALSE),"")</f>
        <v/>
      </c>
      <c r="E1130" s="25" t="str">
        <f>IFERROR(VLOOKUP($B1130,テーブル12[],2,FALSE),"")</f>
        <v/>
      </c>
      <c r="F1130" s="25" t="str">
        <f>IFERROR(VLOOKUP($B1130,テーブル12[],3,FALSE),"")</f>
        <v/>
      </c>
      <c r="G1130" s="31" t="str">
        <f>IFERROR(VLOOKUP($B1130,テーブル12[],4,FALSE),"")</f>
        <v/>
      </c>
      <c r="H1130" s="25" t="str">
        <f t="shared" si="23"/>
        <v/>
      </c>
    </row>
    <row r="1131" spans="4:8">
      <c r="D1131" s="27" t="str">
        <f>IFERROR(VLOOKUP(A1131,テーブル11[],2,FALSE),"")</f>
        <v/>
      </c>
      <c r="E1131" s="25" t="str">
        <f>IFERROR(VLOOKUP($B1131,テーブル12[],2,FALSE),"")</f>
        <v/>
      </c>
      <c r="F1131" s="25" t="str">
        <f>IFERROR(VLOOKUP($B1131,テーブル12[],3,FALSE),"")</f>
        <v/>
      </c>
      <c r="G1131" s="31" t="str">
        <f>IFERROR(VLOOKUP($B1131,テーブル12[],4,FALSE),"")</f>
        <v/>
      </c>
      <c r="H1131" s="25" t="str">
        <f t="shared" si="23"/>
        <v/>
      </c>
    </row>
    <row r="1132" spans="4:8">
      <c r="D1132" s="27" t="str">
        <f>IFERROR(VLOOKUP(A1132,テーブル11[],2,FALSE),"")</f>
        <v/>
      </c>
      <c r="E1132" s="25" t="str">
        <f>IFERROR(VLOOKUP($B1132,テーブル12[],2,FALSE),"")</f>
        <v/>
      </c>
      <c r="F1132" s="25" t="str">
        <f>IFERROR(VLOOKUP($B1132,テーブル12[],3,FALSE),"")</f>
        <v/>
      </c>
      <c r="G1132" s="31" t="str">
        <f>IFERROR(VLOOKUP($B1132,テーブル12[],4,FALSE),"")</f>
        <v/>
      </c>
      <c r="H1132" s="25" t="str">
        <f t="shared" si="23"/>
        <v/>
      </c>
    </row>
    <row r="1133" spans="4:8">
      <c r="D1133" s="27" t="str">
        <f>IFERROR(VLOOKUP(A1133,テーブル11[],2,FALSE),"")</f>
        <v/>
      </c>
      <c r="E1133" s="25" t="str">
        <f>IFERROR(VLOOKUP($B1133,テーブル12[],2,FALSE),"")</f>
        <v/>
      </c>
      <c r="F1133" s="25" t="str">
        <f>IFERROR(VLOOKUP($B1133,テーブル12[],3,FALSE),"")</f>
        <v/>
      </c>
      <c r="G1133" s="31" t="str">
        <f>IFERROR(VLOOKUP($B1133,テーブル12[],4,FALSE),"")</f>
        <v/>
      </c>
      <c r="H1133" s="25" t="str">
        <f t="shared" si="23"/>
        <v/>
      </c>
    </row>
    <row r="1134" spans="4:8">
      <c r="D1134" s="27" t="str">
        <f>IFERROR(VLOOKUP(A1134,テーブル11[],2,FALSE),"")</f>
        <v/>
      </c>
      <c r="E1134" s="25" t="str">
        <f>IFERROR(VLOOKUP($B1134,テーブル12[],2,FALSE),"")</f>
        <v/>
      </c>
      <c r="F1134" s="25" t="str">
        <f>IFERROR(VLOOKUP($B1134,テーブル12[],3,FALSE),"")</f>
        <v/>
      </c>
      <c r="G1134" s="31" t="str">
        <f>IFERROR(VLOOKUP($B1134,テーブル12[],4,FALSE),"")</f>
        <v/>
      </c>
      <c r="H1134" s="25" t="str">
        <f t="shared" si="23"/>
        <v/>
      </c>
    </row>
    <row r="1135" spans="4:8">
      <c r="D1135" s="27" t="str">
        <f>IFERROR(VLOOKUP(A1135,テーブル11[],2,FALSE),"")</f>
        <v/>
      </c>
      <c r="E1135" s="25" t="str">
        <f>IFERROR(VLOOKUP($B1135,テーブル12[],2,FALSE),"")</f>
        <v/>
      </c>
      <c r="F1135" s="25" t="str">
        <f>IFERROR(VLOOKUP($B1135,テーブル12[],3,FALSE),"")</f>
        <v/>
      </c>
      <c r="G1135" s="31" t="str">
        <f>IFERROR(VLOOKUP($B1135,テーブル12[],4,FALSE),"")</f>
        <v/>
      </c>
      <c r="H1135" s="25" t="str">
        <f t="shared" si="23"/>
        <v/>
      </c>
    </row>
    <row r="1136" spans="4:8">
      <c r="D1136" s="27" t="str">
        <f>IFERROR(VLOOKUP(A1136,テーブル11[],2,FALSE),"")</f>
        <v/>
      </c>
      <c r="E1136" s="25" t="str">
        <f>IFERROR(VLOOKUP($B1136,テーブル12[],2,FALSE),"")</f>
        <v/>
      </c>
      <c r="F1136" s="25" t="str">
        <f>IFERROR(VLOOKUP($B1136,テーブル12[],3,FALSE),"")</f>
        <v/>
      </c>
      <c r="G1136" s="31" t="str">
        <f>IFERROR(VLOOKUP($B1136,テーブル12[],4,FALSE),"")</f>
        <v/>
      </c>
      <c r="H1136" s="25" t="str">
        <f t="shared" si="23"/>
        <v/>
      </c>
    </row>
    <row r="1137" spans="4:8">
      <c r="D1137" s="27" t="str">
        <f>IFERROR(VLOOKUP(A1137,テーブル11[],2,FALSE),"")</f>
        <v/>
      </c>
      <c r="E1137" s="25" t="str">
        <f>IFERROR(VLOOKUP($B1137,テーブル12[],2,FALSE),"")</f>
        <v/>
      </c>
      <c r="F1137" s="25" t="str">
        <f>IFERROR(VLOOKUP($B1137,テーブル12[],3,FALSE),"")</f>
        <v/>
      </c>
      <c r="G1137" s="31" t="str">
        <f>IFERROR(VLOOKUP($B1137,テーブル12[],4,FALSE),"")</f>
        <v/>
      </c>
      <c r="H1137" s="25" t="str">
        <f t="shared" si="23"/>
        <v/>
      </c>
    </row>
    <row r="1138" spans="4:8">
      <c r="D1138" s="27" t="str">
        <f>IFERROR(VLOOKUP(A1138,テーブル11[],2,FALSE),"")</f>
        <v/>
      </c>
      <c r="E1138" s="25" t="str">
        <f>IFERROR(VLOOKUP($B1138,テーブル12[],2,FALSE),"")</f>
        <v/>
      </c>
      <c r="F1138" s="25" t="str">
        <f>IFERROR(VLOOKUP($B1138,テーブル12[],3,FALSE),"")</f>
        <v/>
      </c>
      <c r="G1138" s="31" t="str">
        <f>IFERROR(VLOOKUP($B1138,テーブル12[],4,FALSE),"")</f>
        <v/>
      </c>
      <c r="H1138" s="25" t="str">
        <f t="shared" si="23"/>
        <v/>
      </c>
    </row>
    <row r="1139" spans="4:8">
      <c r="D1139" s="27" t="str">
        <f>IFERROR(VLOOKUP(A1139,テーブル11[],2,FALSE),"")</f>
        <v/>
      </c>
      <c r="E1139" s="25" t="str">
        <f>IFERROR(VLOOKUP($B1139,テーブル12[],2,FALSE),"")</f>
        <v/>
      </c>
      <c r="F1139" s="25" t="str">
        <f>IFERROR(VLOOKUP($B1139,テーブル12[],3,FALSE),"")</f>
        <v/>
      </c>
      <c r="G1139" s="31" t="str">
        <f>IFERROR(VLOOKUP($B1139,テーブル12[],4,FALSE),"")</f>
        <v/>
      </c>
      <c r="H1139" s="25" t="str">
        <f t="shared" si="23"/>
        <v/>
      </c>
    </row>
    <row r="1140" spans="4:8">
      <c r="D1140" s="27" t="str">
        <f>IFERROR(VLOOKUP(A1140,テーブル11[],2,FALSE),"")</f>
        <v/>
      </c>
      <c r="E1140" s="25" t="str">
        <f>IFERROR(VLOOKUP($B1140,テーブル12[],2,FALSE),"")</f>
        <v/>
      </c>
      <c r="F1140" s="25" t="str">
        <f>IFERROR(VLOOKUP($B1140,テーブル12[],3,FALSE),"")</f>
        <v/>
      </c>
      <c r="G1140" s="31" t="str">
        <f>IFERROR(VLOOKUP($B1140,テーブル12[],4,FALSE),"")</f>
        <v/>
      </c>
      <c r="H1140" s="25" t="str">
        <f t="shared" si="23"/>
        <v/>
      </c>
    </row>
    <row r="1141" spans="4:8">
      <c r="D1141" s="27" t="str">
        <f>IFERROR(VLOOKUP(A1141,テーブル11[],2,FALSE),"")</f>
        <v/>
      </c>
      <c r="E1141" s="25" t="str">
        <f>IFERROR(VLOOKUP($B1141,テーブル12[],2,FALSE),"")</f>
        <v/>
      </c>
      <c r="F1141" s="25" t="str">
        <f>IFERROR(VLOOKUP($B1141,テーブル12[],3,FALSE),"")</f>
        <v/>
      </c>
      <c r="G1141" s="31" t="str">
        <f>IFERROR(VLOOKUP($B1141,テーブル12[],4,FALSE),"")</f>
        <v/>
      </c>
      <c r="H1141" s="25" t="str">
        <f t="shared" si="23"/>
        <v/>
      </c>
    </row>
    <row r="1142" spans="4:8">
      <c r="D1142" s="27" t="str">
        <f>IFERROR(VLOOKUP(A1142,テーブル11[],2,FALSE),"")</f>
        <v/>
      </c>
      <c r="E1142" s="25" t="str">
        <f>IFERROR(VLOOKUP($B1142,テーブル12[],2,FALSE),"")</f>
        <v/>
      </c>
      <c r="F1142" s="25" t="str">
        <f>IFERROR(VLOOKUP($B1142,テーブル12[],3,FALSE),"")</f>
        <v/>
      </c>
      <c r="G1142" s="31" t="str">
        <f>IFERROR(VLOOKUP($B1142,テーブル12[],4,FALSE),"")</f>
        <v/>
      </c>
      <c r="H1142" s="25" t="str">
        <f t="shared" si="23"/>
        <v/>
      </c>
    </row>
    <row r="1143" spans="4:8">
      <c r="D1143" s="27" t="str">
        <f>IFERROR(VLOOKUP(A1143,テーブル11[],2,FALSE),"")</f>
        <v/>
      </c>
      <c r="E1143" s="25" t="str">
        <f>IFERROR(VLOOKUP($B1143,テーブル12[],2,FALSE),"")</f>
        <v/>
      </c>
      <c r="F1143" s="25" t="str">
        <f>IFERROR(VLOOKUP($B1143,テーブル12[],3,FALSE),"")</f>
        <v/>
      </c>
      <c r="G1143" s="31" t="str">
        <f>IFERROR(VLOOKUP($B1143,テーブル12[],4,FALSE),"")</f>
        <v/>
      </c>
      <c r="H1143" s="25" t="str">
        <f t="shared" si="23"/>
        <v/>
      </c>
    </row>
    <row r="1144" spans="4:8">
      <c r="D1144" s="27" t="str">
        <f>IFERROR(VLOOKUP(A1144,テーブル11[],2,FALSE),"")</f>
        <v/>
      </c>
      <c r="E1144" s="25" t="str">
        <f>IFERROR(VLOOKUP($B1144,テーブル12[],2,FALSE),"")</f>
        <v/>
      </c>
      <c r="F1144" s="25" t="str">
        <f>IFERROR(VLOOKUP($B1144,テーブル12[],3,FALSE),"")</f>
        <v/>
      </c>
      <c r="G1144" s="31" t="str">
        <f>IFERROR(VLOOKUP($B1144,テーブル12[],4,FALSE),"")</f>
        <v/>
      </c>
      <c r="H1144" s="25" t="str">
        <f t="shared" si="23"/>
        <v/>
      </c>
    </row>
    <row r="1145" spans="4:8">
      <c r="D1145" s="27" t="str">
        <f>IFERROR(VLOOKUP(A1145,テーブル11[],2,FALSE),"")</f>
        <v/>
      </c>
      <c r="E1145" s="25" t="str">
        <f>IFERROR(VLOOKUP($B1145,テーブル12[],2,FALSE),"")</f>
        <v/>
      </c>
      <c r="F1145" s="25" t="str">
        <f>IFERROR(VLOOKUP($B1145,テーブル12[],3,FALSE),"")</f>
        <v/>
      </c>
      <c r="G1145" s="31" t="str">
        <f>IFERROR(VLOOKUP($B1145,テーブル12[],4,FALSE),"")</f>
        <v/>
      </c>
      <c r="H1145" s="25" t="str">
        <f t="shared" si="23"/>
        <v/>
      </c>
    </row>
    <row r="1146" spans="4:8">
      <c r="D1146" s="27" t="str">
        <f>IFERROR(VLOOKUP(A1146,テーブル11[],2,FALSE),"")</f>
        <v/>
      </c>
      <c r="E1146" s="25" t="str">
        <f>IFERROR(VLOOKUP($B1146,テーブル12[],2,FALSE),"")</f>
        <v/>
      </c>
      <c r="F1146" s="25" t="str">
        <f>IFERROR(VLOOKUP($B1146,テーブル12[],3,FALSE),"")</f>
        <v/>
      </c>
      <c r="G1146" s="31" t="str">
        <f>IFERROR(VLOOKUP($B1146,テーブル12[],4,FALSE),"")</f>
        <v/>
      </c>
      <c r="H1146" s="25" t="str">
        <f t="shared" si="23"/>
        <v/>
      </c>
    </row>
    <row r="1147" spans="4:8">
      <c r="D1147" s="27" t="str">
        <f>IFERROR(VLOOKUP(A1147,テーブル11[],2,FALSE),"")</f>
        <v/>
      </c>
      <c r="E1147" s="25" t="str">
        <f>IFERROR(VLOOKUP($B1147,テーブル12[],2,FALSE),"")</f>
        <v/>
      </c>
      <c r="F1147" s="25" t="str">
        <f>IFERROR(VLOOKUP($B1147,テーブル12[],3,FALSE),"")</f>
        <v/>
      </c>
      <c r="G1147" s="31" t="str">
        <f>IFERROR(VLOOKUP($B1147,テーブル12[],4,FALSE),"")</f>
        <v/>
      </c>
      <c r="H1147" s="25" t="str">
        <f t="shared" si="23"/>
        <v/>
      </c>
    </row>
    <row r="1148" spans="4:8">
      <c r="D1148" s="27" t="str">
        <f>IFERROR(VLOOKUP(A1148,テーブル11[],2,FALSE),"")</f>
        <v/>
      </c>
      <c r="E1148" s="25" t="str">
        <f>IFERROR(VLOOKUP($B1148,テーブル12[],2,FALSE),"")</f>
        <v/>
      </c>
      <c r="F1148" s="25" t="str">
        <f>IFERROR(VLOOKUP($B1148,テーブル12[],3,FALSE),"")</f>
        <v/>
      </c>
      <c r="G1148" s="31" t="str">
        <f>IFERROR(VLOOKUP($B1148,テーブル12[],4,FALSE),"")</f>
        <v/>
      </c>
      <c r="H1148" s="25" t="str">
        <f t="shared" si="23"/>
        <v/>
      </c>
    </row>
    <row r="1149" spans="4:8">
      <c r="D1149" s="27" t="str">
        <f>IFERROR(VLOOKUP(A1149,テーブル11[],2,FALSE),"")</f>
        <v/>
      </c>
      <c r="E1149" s="25" t="str">
        <f>IFERROR(VLOOKUP($B1149,テーブル12[],2,FALSE),"")</f>
        <v/>
      </c>
      <c r="F1149" s="25" t="str">
        <f>IFERROR(VLOOKUP($B1149,テーブル12[],3,FALSE),"")</f>
        <v/>
      </c>
      <c r="G1149" s="31" t="str">
        <f>IFERROR(VLOOKUP($B1149,テーブル12[],4,FALSE),"")</f>
        <v/>
      </c>
      <c r="H1149" s="25" t="str">
        <f t="shared" si="23"/>
        <v/>
      </c>
    </row>
    <row r="1150" spans="4:8">
      <c r="D1150" s="27" t="str">
        <f>IFERROR(VLOOKUP(A1150,テーブル11[],2,FALSE),"")</f>
        <v/>
      </c>
      <c r="E1150" s="25" t="str">
        <f>IFERROR(VLOOKUP($B1150,テーブル12[],2,FALSE),"")</f>
        <v/>
      </c>
      <c r="F1150" s="25" t="str">
        <f>IFERROR(VLOOKUP($B1150,テーブル12[],3,FALSE),"")</f>
        <v/>
      </c>
      <c r="G1150" s="31" t="str">
        <f>IFERROR(VLOOKUP($B1150,テーブル12[],4,FALSE),"")</f>
        <v/>
      </c>
      <c r="H1150" s="25" t="str">
        <f t="shared" si="23"/>
        <v/>
      </c>
    </row>
    <row r="1151" spans="4:8">
      <c r="D1151" s="27" t="str">
        <f>IFERROR(VLOOKUP(A1151,テーブル11[],2,FALSE),"")</f>
        <v/>
      </c>
      <c r="E1151" s="25" t="str">
        <f>IFERROR(VLOOKUP($B1151,テーブル12[],2,FALSE),"")</f>
        <v/>
      </c>
      <c r="F1151" s="25" t="str">
        <f>IFERROR(VLOOKUP($B1151,テーブル12[],3,FALSE),"")</f>
        <v/>
      </c>
      <c r="G1151" s="31" t="str">
        <f>IFERROR(VLOOKUP($B1151,テーブル12[],4,FALSE),"")</f>
        <v/>
      </c>
      <c r="H1151" s="25" t="str">
        <f t="shared" si="23"/>
        <v/>
      </c>
    </row>
    <row r="1152" spans="4:8">
      <c r="D1152" s="27" t="str">
        <f>IFERROR(VLOOKUP(A1152,テーブル11[],2,FALSE),"")</f>
        <v/>
      </c>
      <c r="E1152" s="25" t="str">
        <f>IFERROR(VLOOKUP($B1152,テーブル12[],2,FALSE),"")</f>
        <v/>
      </c>
      <c r="F1152" s="25" t="str">
        <f>IFERROR(VLOOKUP($B1152,テーブル12[],3,FALSE),"")</f>
        <v/>
      </c>
      <c r="G1152" s="31" t="str">
        <f>IFERROR(VLOOKUP($B1152,テーブル12[],4,FALSE),"")</f>
        <v/>
      </c>
      <c r="H1152" s="25" t="str">
        <f t="shared" si="23"/>
        <v/>
      </c>
    </row>
    <row r="1153" spans="4:8">
      <c r="D1153" s="27" t="str">
        <f>IFERROR(VLOOKUP(A1153,テーブル11[],2,FALSE),"")</f>
        <v/>
      </c>
      <c r="E1153" s="25" t="str">
        <f>IFERROR(VLOOKUP($B1153,テーブル12[],2,FALSE),"")</f>
        <v/>
      </c>
      <c r="F1153" s="25" t="str">
        <f>IFERROR(VLOOKUP($B1153,テーブル12[],3,FALSE),"")</f>
        <v/>
      </c>
      <c r="G1153" s="31" t="str">
        <f>IFERROR(VLOOKUP($B1153,テーブル12[],4,FALSE),"")</f>
        <v/>
      </c>
      <c r="H1153" s="25" t="str">
        <f t="shared" si="23"/>
        <v/>
      </c>
    </row>
    <row r="1154" spans="4:8">
      <c r="D1154" s="27" t="str">
        <f>IFERROR(VLOOKUP(A1154,テーブル11[],2,FALSE),"")</f>
        <v/>
      </c>
      <c r="E1154" s="25" t="str">
        <f>IFERROR(VLOOKUP($B1154,テーブル12[],2,FALSE),"")</f>
        <v/>
      </c>
      <c r="F1154" s="25" t="str">
        <f>IFERROR(VLOOKUP($B1154,テーブル12[],3,FALSE),"")</f>
        <v/>
      </c>
      <c r="G1154" s="31" t="str">
        <f>IFERROR(VLOOKUP($B1154,テーブル12[],4,FALSE),"")</f>
        <v/>
      </c>
      <c r="H1154" s="25" t="str">
        <f t="shared" ref="H1154:H1217" si="24">IF(C1154=0,"",C1154)</f>
        <v/>
      </c>
    </row>
    <row r="1155" spans="4:8">
      <c r="D1155" s="27" t="str">
        <f>IFERROR(VLOOKUP(A1155,テーブル11[],2,FALSE),"")</f>
        <v/>
      </c>
      <c r="E1155" s="25" t="str">
        <f>IFERROR(VLOOKUP($B1155,テーブル12[],2,FALSE),"")</f>
        <v/>
      </c>
      <c r="F1155" s="25" t="str">
        <f>IFERROR(VLOOKUP($B1155,テーブル12[],3,FALSE),"")</f>
        <v/>
      </c>
      <c r="G1155" s="31" t="str">
        <f>IFERROR(VLOOKUP($B1155,テーブル12[],4,FALSE),"")</f>
        <v/>
      </c>
      <c r="H1155" s="25" t="str">
        <f t="shared" si="24"/>
        <v/>
      </c>
    </row>
    <row r="1156" spans="4:8">
      <c r="D1156" s="27" t="str">
        <f>IFERROR(VLOOKUP(A1156,テーブル11[],2,FALSE),"")</f>
        <v/>
      </c>
      <c r="E1156" s="25" t="str">
        <f>IFERROR(VLOOKUP($B1156,テーブル12[],2,FALSE),"")</f>
        <v/>
      </c>
      <c r="F1156" s="25" t="str">
        <f>IFERROR(VLOOKUP($B1156,テーブル12[],3,FALSE),"")</f>
        <v/>
      </c>
      <c r="G1156" s="31" t="str">
        <f>IFERROR(VLOOKUP($B1156,テーブル12[],4,FALSE),"")</f>
        <v/>
      </c>
      <c r="H1156" s="25" t="str">
        <f t="shared" si="24"/>
        <v/>
      </c>
    </row>
    <row r="1157" spans="4:8">
      <c r="D1157" s="27" t="str">
        <f>IFERROR(VLOOKUP(A1157,テーブル11[],2,FALSE),"")</f>
        <v/>
      </c>
      <c r="E1157" s="25" t="str">
        <f>IFERROR(VLOOKUP($B1157,テーブル12[],2,FALSE),"")</f>
        <v/>
      </c>
      <c r="F1157" s="25" t="str">
        <f>IFERROR(VLOOKUP($B1157,テーブル12[],3,FALSE),"")</f>
        <v/>
      </c>
      <c r="G1157" s="31" t="str">
        <f>IFERROR(VLOOKUP($B1157,テーブル12[],4,FALSE),"")</f>
        <v/>
      </c>
      <c r="H1157" s="25" t="str">
        <f t="shared" si="24"/>
        <v/>
      </c>
    </row>
    <row r="1158" spans="4:8">
      <c r="D1158" s="27" t="str">
        <f>IFERROR(VLOOKUP(A1158,テーブル11[],2,FALSE),"")</f>
        <v/>
      </c>
      <c r="E1158" s="25" t="str">
        <f>IFERROR(VLOOKUP($B1158,テーブル12[],2,FALSE),"")</f>
        <v/>
      </c>
      <c r="F1158" s="25" t="str">
        <f>IFERROR(VLOOKUP($B1158,テーブル12[],3,FALSE),"")</f>
        <v/>
      </c>
      <c r="G1158" s="31" t="str">
        <f>IFERROR(VLOOKUP($B1158,テーブル12[],4,FALSE),"")</f>
        <v/>
      </c>
      <c r="H1158" s="25" t="str">
        <f t="shared" si="24"/>
        <v/>
      </c>
    </row>
    <row r="1159" spans="4:8">
      <c r="D1159" s="27" t="str">
        <f>IFERROR(VLOOKUP(A1159,テーブル11[],2,FALSE),"")</f>
        <v/>
      </c>
      <c r="E1159" s="25" t="str">
        <f>IFERROR(VLOOKUP($B1159,テーブル12[],2,FALSE),"")</f>
        <v/>
      </c>
      <c r="F1159" s="25" t="str">
        <f>IFERROR(VLOOKUP($B1159,テーブル12[],3,FALSE),"")</f>
        <v/>
      </c>
      <c r="G1159" s="31" t="str">
        <f>IFERROR(VLOOKUP($B1159,テーブル12[],4,FALSE),"")</f>
        <v/>
      </c>
      <c r="H1159" s="25" t="str">
        <f t="shared" si="24"/>
        <v/>
      </c>
    </row>
    <row r="1160" spans="4:8">
      <c r="D1160" s="27" t="str">
        <f>IFERROR(VLOOKUP(A1160,テーブル11[],2,FALSE),"")</f>
        <v/>
      </c>
      <c r="E1160" s="25" t="str">
        <f>IFERROR(VLOOKUP($B1160,テーブル12[],2,FALSE),"")</f>
        <v/>
      </c>
      <c r="F1160" s="25" t="str">
        <f>IFERROR(VLOOKUP($B1160,テーブル12[],3,FALSE),"")</f>
        <v/>
      </c>
      <c r="G1160" s="31" t="str">
        <f>IFERROR(VLOOKUP($B1160,テーブル12[],4,FALSE),"")</f>
        <v/>
      </c>
      <c r="H1160" s="25" t="str">
        <f t="shared" si="24"/>
        <v/>
      </c>
    </row>
    <row r="1161" spans="4:8">
      <c r="D1161" s="27" t="str">
        <f>IFERROR(VLOOKUP(A1161,テーブル11[],2,FALSE),"")</f>
        <v/>
      </c>
      <c r="E1161" s="25" t="str">
        <f>IFERROR(VLOOKUP($B1161,テーブル12[],2,FALSE),"")</f>
        <v/>
      </c>
      <c r="F1161" s="25" t="str">
        <f>IFERROR(VLOOKUP($B1161,テーブル12[],3,FALSE),"")</f>
        <v/>
      </c>
      <c r="G1161" s="31" t="str">
        <f>IFERROR(VLOOKUP($B1161,テーブル12[],4,FALSE),"")</f>
        <v/>
      </c>
      <c r="H1161" s="25" t="str">
        <f t="shared" si="24"/>
        <v/>
      </c>
    </row>
    <row r="1162" spans="4:8">
      <c r="D1162" s="27" t="str">
        <f>IFERROR(VLOOKUP(A1162,テーブル11[],2,FALSE),"")</f>
        <v/>
      </c>
      <c r="E1162" s="25" t="str">
        <f>IFERROR(VLOOKUP($B1162,テーブル12[],2,FALSE),"")</f>
        <v/>
      </c>
      <c r="F1162" s="25" t="str">
        <f>IFERROR(VLOOKUP($B1162,テーブル12[],3,FALSE),"")</f>
        <v/>
      </c>
      <c r="G1162" s="31" t="str">
        <f>IFERROR(VLOOKUP($B1162,テーブル12[],4,FALSE),"")</f>
        <v/>
      </c>
      <c r="H1162" s="25" t="str">
        <f t="shared" si="24"/>
        <v/>
      </c>
    </row>
    <row r="1163" spans="4:8">
      <c r="D1163" s="27" t="str">
        <f>IFERROR(VLOOKUP(A1163,テーブル11[],2,FALSE),"")</f>
        <v/>
      </c>
      <c r="E1163" s="25" t="str">
        <f>IFERROR(VLOOKUP($B1163,テーブル12[],2,FALSE),"")</f>
        <v/>
      </c>
      <c r="F1163" s="25" t="str">
        <f>IFERROR(VLOOKUP($B1163,テーブル12[],3,FALSE),"")</f>
        <v/>
      </c>
      <c r="G1163" s="31" t="str">
        <f>IFERROR(VLOOKUP($B1163,テーブル12[],4,FALSE),"")</f>
        <v/>
      </c>
      <c r="H1163" s="25" t="str">
        <f t="shared" si="24"/>
        <v/>
      </c>
    </row>
    <row r="1164" spans="4:8">
      <c r="D1164" s="27" t="str">
        <f>IFERROR(VLOOKUP(A1164,テーブル11[],2,FALSE),"")</f>
        <v/>
      </c>
      <c r="E1164" s="25" t="str">
        <f>IFERROR(VLOOKUP($B1164,テーブル12[],2,FALSE),"")</f>
        <v/>
      </c>
      <c r="F1164" s="25" t="str">
        <f>IFERROR(VLOOKUP($B1164,テーブル12[],3,FALSE),"")</f>
        <v/>
      </c>
      <c r="G1164" s="31" t="str">
        <f>IFERROR(VLOOKUP($B1164,テーブル12[],4,FALSE),"")</f>
        <v/>
      </c>
      <c r="H1164" s="25" t="str">
        <f t="shared" si="24"/>
        <v/>
      </c>
    </row>
    <row r="1165" spans="4:8">
      <c r="D1165" s="27" t="str">
        <f>IFERROR(VLOOKUP(A1165,テーブル11[],2,FALSE),"")</f>
        <v/>
      </c>
      <c r="E1165" s="25" t="str">
        <f>IFERROR(VLOOKUP($B1165,テーブル12[],2,FALSE),"")</f>
        <v/>
      </c>
      <c r="F1165" s="25" t="str">
        <f>IFERROR(VLOOKUP($B1165,テーブル12[],3,FALSE),"")</f>
        <v/>
      </c>
      <c r="G1165" s="31" t="str">
        <f>IFERROR(VLOOKUP($B1165,テーブル12[],4,FALSE),"")</f>
        <v/>
      </c>
      <c r="H1165" s="25" t="str">
        <f t="shared" si="24"/>
        <v/>
      </c>
    </row>
    <row r="1166" spans="4:8">
      <c r="D1166" s="27" t="str">
        <f>IFERROR(VLOOKUP(A1166,テーブル11[],2,FALSE),"")</f>
        <v/>
      </c>
      <c r="E1166" s="25" t="str">
        <f>IFERROR(VLOOKUP($B1166,テーブル12[],2,FALSE),"")</f>
        <v/>
      </c>
      <c r="F1166" s="25" t="str">
        <f>IFERROR(VLOOKUP($B1166,テーブル12[],3,FALSE),"")</f>
        <v/>
      </c>
      <c r="G1166" s="31" t="str">
        <f>IFERROR(VLOOKUP($B1166,テーブル12[],4,FALSE),"")</f>
        <v/>
      </c>
      <c r="H1166" s="25" t="str">
        <f t="shared" si="24"/>
        <v/>
      </c>
    </row>
    <row r="1167" spans="4:8">
      <c r="D1167" s="27" t="str">
        <f>IFERROR(VLOOKUP(A1167,テーブル11[],2,FALSE),"")</f>
        <v/>
      </c>
      <c r="E1167" s="25" t="str">
        <f>IFERROR(VLOOKUP($B1167,テーブル12[],2,FALSE),"")</f>
        <v/>
      </c>
      <c r="F1167" s="25" t="str">
        <f>IFERROR(VLOOKUP($B1167,テーブル12[],3,FALSE),"")</f>
        <v/>
      </c>
      <c r="G1167" s="31" t="str">
        <f>IFERROR(VLOOKUP($B1167,テーブル12[],4,FALSE),"")</f>
        <v/>
      </c>
      <c r="H1167" s="25" t="str">
        <f t="shared" si="24"/>
        <v/>
      </c>
    </row>
    <row r="1168" spans="4:8">
      <c r="D1168" s="27" t="str">
        <f>IFERROR(VLOOKUP(A1168,テーブル11[],2,FALSE),"")</f>
        <v/>
      </c>
      <c r="E1168" s="25" t="str">
        <f>IFERROR(VLOOKUP($B1168,テーブル12[],2,FALSE),"")</f>
        <v/>
      </c>
      <c r="F1168" s="25" t="str">
        <f>IFERROR(VLOOKUP($B1168,テーブル12[],3,FALSE),"")</f>
        <v/>
      </c>
      <c r="G1168" s="31" t="str">
        <f>IFERROR(VLOOKUP($B1168,テーブル12[],4,FALSE),"")</f>
        <v/>
      </c>
      <c r="H1168" s="25" t="str">
        <f t="shared" si="24"/>
        <v/>
      </c>
    </row>
    <row r="1169" spans="4:8">
      <c r="D1169" s="27" t="str">
        <f>IFERROR(VLOOKUP(A1169,テーブル11[],2,FALSE),"")</f>
        <v/>
      </c>
      <c r="E1169" s="25" t="str">
        <f>IFERROR(VLOOKUP($B1169,テーブル12[],2,FALSE),"")</f>
        <v/>
      </c>
      <c r="F1169" s="25" t="str">
        <f>IFERROR(VLOOKUP($B1169,テーブル12[],3,FALSE),"")</f>
        <v/>
      </c>
      <c r="G1169" s="31" t="str">
        <f>IFERROR(VLOOKUP($B1169,テーブル12[],4,FALSE),"")</f>
        <v/>
      </c>
      <c r="H1169" s="25" t="str">
        <f t="shared" si="24"/>
        <v/>
      </c>
    </row>
    <row r="1170" spans="4:8">
      <c r="D1170" s="27" t="str">
        <f>IFERROR(VLOOKUP(A1170,テーブル11[],2,FALSE),"")</f>
        <v/>
      </c>
      <c r="E1170" s="25" t="str">
        <f>IFERROR(VLOOKUP($B1170,テーブル12[],2,FALSE),"")</f>
        <v/>
      </c>
      <c r="F1170" s="25" t="str">
        <f>IFERROR(VLOOKUP($B1170,テーブル12[],3,FALSE),"")</f>
        <v/>
      </c>
      <c r="G1170" s="31" t="str">
        <f>IFERROR(VLOOKUP($B1170,テーブル12[],4,FALSE),"")</f>
        <v/>
      </c>
      <c r="H1170" s="25" t="str">
        <f t="shared" si="24"/>
        <v/>
      </c>
    </row>
    <row r="1171" spans="4:8">
      <c r="D1171" s="27" t="str">
        <f>IFERROR(VLOOKUP(A1171,テーブル11[],2,FALSE),"")</f>
        <v/>
      </c>
      <c r="E1171" s="25" t="str">
        <f>IFERROR(VLOOKUP($B1171,テーブル12[],2,FALSE),"")</f>
        <v/>
      </c>
      <c r="F1171" s="25" t="str">
        <f>IFERROR(VLOOKUP($B1171,テーブル12[],3,FALSE),"")</f>
        <v/>
      </c>
      <c r="G1171" s="31" t="str">
        <f>IFERROR(VLOOKUP($B1171,テーブル12[],4,FALSE),"")</f>
        <v/>
      </c>
      <c r="H1171" s="25" t="str">
        <f t="shared" si="24"/>
        <v/>
      </c>
    </row>
    <row r="1172" spans="4:8">
      <c r="D1172" s="27" t="str">
        <f>IFERROR(VLOOKUP(A1172,テーブル11[],2,FALSE),"")</f>
        <v/>
      </c>
      <c r="E1172" s="25" t="str">
        <f>IFERROR(VLOOKUP($B1172,テーブル12[],2,FALSE),"")</f>
        <v/>
      </c>
      <c r="F1172" s="25" t="str">
        <f>IFERROR(VLOOKUP($B1172,テーブル12[],3,FALSE),"")</f>
        <v/>
      </c>
      <c r="G1172" s="31" t="str">
        <f>IFERROR(VLOOKUP($B1172,テーブル12[],4,FALSE),"")</f>
        <v/>
      </c>
      <c r="H1172" s="25" t="str">
        <f t="shared" si="24"/>
        <v/>
      </c>
    </row>
    <row r="1173" spans="4:8">
      <c r="D1173" s="27" t="str">
        <f>IFERROR(VLOOKUP(A1173,テーブル11[],2,FALSE),"")</f>
        <v/>
      </c>
      <c r="E1173" s="25" t="str">
        <f>IFERROR(VLOOKUP($B1173,テーブル12[],2,FALSE),"")</f>
        <v/>
      </c>
      <c r="F1173" s="25" t="str">
        <f>IFERROR(VLOOKUP($B1173,テーブル12[],3,FALSE),"")</f>
        <v/>
      </c>
      <c r="G1173" s="31" t="str">
        <f>IFERROR(VLOOKUP($B1173,テーブル12[],4,FALSE),"")</f>
        <v/>
      </c>
      <c r="H1173" s="25" t="str">
        <f t="shared" si="24"/>
        <v/>
      </c>
    </row>
    <row r="1174" spans="4:8">
      <c r="D1174" s="27" t="str">
        <f>IFERROR(VLOOKUP(A1174,テーブル11[],2,FALSE),"")</f>
        <v/>
      </c>
      <c r="E1174" s="25" t="str">
        <f>IFERROR(VLOOKUP($B1174,テーブル12[],2,FALSE),"")</f>
        <v/>
      </c>
      <c r="F1174" s="25" t="str">
        <f>IFERROR(VLOOKUP($B1174,テーブル12[],3,FALSE),"")</f>
        <v/>
      </c>
      <c r="G1174" s="31" t="str">
        <f>IFERROR(VLOOKUP($B1174,テーブル12[],4,FALSE),"")</f>
        <v/>
      </c>
      <c r="H1174" s="25" t="str">
        <f t="shared" si="24"/>
        <v/>
      </c>
    </row>
    <row r="1175" spans="4:8">
      <c r="D1175" s="27" t="str">
        <f>IFERROR(VLOOKUP(A1175,テーブル11[],2,FALSE),"")</f>
        <v/>
      </c>
      <c r="E1175" s="25" t="str">
        <f>IFERROR(VLOOKUP($B1175,テーブル12[],2,FALSE),"")</f>
        <v/>
      </c>
      <c r="F1175" s="25" t="str">
        <f>IFERROR(VLOOKUP($B1175,テーブル12[],3,FALSE),"")</f>
        <v/>
      </c>
      <c r="G1175" s="31" t="str">
        <f>IFERROR(VLOOKUP($B1175,テーブル12[],4,FALSE),"")</f>
        <v/>
      </c>
      <c r="H1175" s="25" t="str">
        <f t="shared" si="24"/>
        <v/>
      </c>
    </row>
    <row r="1176" spans="4:8">
      <c r="D1176" s="27" t="str">
        <f>IFERROR(VLOOKUP(A1176,テーブル11[],2,FALSE),"")</f>
        <v/>
      </c>
      <c r="E1176" s="25" t="str">
        <f>IFERROR(VLOOKUP($B1176,テーブル12[],2,FALSE),"")</f>
        <v/>
      </c>
      <c r="F1176" s="25" t="str">
        <f>IFERROR(VLOOKUP($B1176,テーブル12[],3,FALSE),"")</f>
        <v/>
      </c>
      <c r="G1176" s="31" t="str">
        <f>IFERROR(VLOOKUP($B1176,テーブル12[],4,FALSE),"")</f>
        <v/>
      </c>
      <c r="H1176" s="25" t="str">
        <f t="shared" si="24"/>
        <v/>
      </c>
    </row>
    <row r="1177" spans="4:8">
      <c r="D1177" s="27" t="str">
        <f>IFERROR(VLOOKUP(A1177,テーブル11[],2,FALSE),"")</f>
        <v/>
      </c>
      <c r="E1177" s="25" t="str">
        <f>IFERROR(VLOOKUP($B1177,テーブル12[],2,FALSE),"")</f>
        <v/>
      </c>
      <c r="F1177" s="25" t="str">
        <f>IFERROR(VLOOKUP($B1177,テーブル12[],3,FALSE),"")</f>
        <v/>
      </c>
      <c r="G1177" s="31" t="str">
        <f>IFERROR(VLOOKUP($B1177,テーブル12[],4,FALSE),"")</f>
        <v/>
      </c>
      <c r="H1177" s="25" t="str">
        <f t="shared" si="24"/>
        <v/>
      </c>
    </row>
    <row r="1178" spans="4:8">
      <c r="D1178" s="27" t="str">
        <f>IFERROR(VLOOKUP(A1178,テーブル11[],2,FALSE),"")</f>
        <v/>
      </c>
      <c r="E1178" s="25" t="str">
        <f>IFERROR(VLOOKUP($B1178,テーブル12[],2,FALSE),"")</f>
        <v/>
      </c>
      <c r="F1178" s="25" t="str">
        <f>IFERROR(VLOOKUP($B1178,テーブル12[],3,FALSE),"")</f>
        <v/>
      </c>
      <c r="G1178" s="31" t="str">
        <f>IFERROR(VLOOKUP($B1178,テーブル12[],4,FALSE),"")</f>
        <v/>
      </c>
      <c r="H1178" s="25" t="str">
        <f t="shared" si="24"/>
        <v/>
      </c>
    </row>
    <row r="1179" spans="4:8">
      <c r="D1179" s="27" t="str">
        <f>IFERROR(VLOOKUP(A1179,テーブル11[],2,FALSE),"")</f>
        <v/>
      </c>
      <c r="E1179" s="25" t="str">
        <f>IFERROR(VLOOKUP($B1179,テーブル12[],2,FALSE),"")</f>
        <v/>
      </c>
      <c r="F1179" s="25" t="str">
        <f>IFERROR(VLOOKUP($B1179,テーブル12[],3,FALSE),"")</f>
        <v/>
      </c>
      <c r="G1179" s="31" t="str">
        <f>IFERROR(VLOOKUP($B1179,テーブル12[],4,FALSE),"")</f>
        <v/>
      </c>
      <c r="H1179" s="25" t="str">
        <f t="shared" si="24"/>
        <v/>
      </c>
    </row>
    <row r="1180" spans="4:8">
      <c r="D1180" s="27" t="str">
        <f>IFERROR(VLOOKUP(A1180,テーブル11[],2,FALSE),"")</f>
        <v/>
      </c>
      <c r="E1180" s="25" t="str">
        <f>IFERROR(VLOOKUP($B1180,テーブル12[],2,FALSE),"")</f>
        <v/>
      </c>
      <c r="F1180" s="25" t="str">
        <f>IFERROR(VLOOKUP($B1180,テーブル12[],3,FALSE),"")</f>
        <v/>
      </c>
      <c r="G1180" s="31" t="str">
        <f>IFERROR(VLOOKUP($B1180,テーブル12[],4,FALSE),"")</f>
        <v/>
      </c>
      <c r="H1180" s="25" t="str">
        <f t="shared" si="24"/>
        <v/>
      </c>
    </row>
    <row r="1181" spans="4:8">
      <c r="D1181" s="27" t="str">
        <f>IFERROR(VLOOKUP(A1181,テーブル11[],2,FALSE),"")</f>
        <v/>
      </c>
      <c r="E1181" s="25" t="str">
        <f>IFERROR(VLOOKUP($B1181,テーブル12[],2,FALSE),"")</f>
        <v/>
      </c>
      <c r="F1181" s="25" t="str">
        <f>IFERROR(VLOOKUP($B1181,テーブル12[],3,FALSE),"")</f>
        <v/>
      </c>
      <c r="G1181" s="31" t="str">
        <f>IFERROR(VLOOKUP($B1181,テーブル12[],4,FALSE),"")</f>
        <v/>
      </c>
      <c r="H1181" s="25" t="str">
        <f t="shared" si="24"/>
        <v/>
      </c>
    </row>
    <row r="1182" spans="4:8">
      <c r="D1182" s="27" t="str">
        <f>IFERROR(VLOOKUP(A1182,テーブル11[],2,FALSE),"")</f>
        <v/>
      </c>
      <c r="E1182" s="25" t="str">
        <f>IFERROR(VLOOKUP($B1182,テーブル12[],2,FALSE),"")</f>
        <v/>
      </c>
      <c r="F1182" s="25" t="str">
        <f>IFERROR(VLOOKUP($B1182,テーブル12[],3,FALSE),"")</f>
        <v/>
      </c>
      <c r="G1182" s="31" t="str">
        <f>IFERROR(VLOOKUP($B1182,テーブル12[],4,FALSE),"")</f>
        <v/>
      </c>
      <c r="H1182" s="25" t="str">
        <f t="shared" si="24"/>
        <v/>
      </c>
    </row>
    <row r="1183" spans="4:8">
      <c r="D1183" s="27" t="str">
        <f>IFERROR(VLOOKUP(A1183,テーブル11[],2,FALSE),"")</f>
        <v/>
      </c>
      <c r="E1183" s="25" t="str">
        <f>IFERROR(VLOOKUP($B1183,テーブル12[],2,FALSE),"")</f>
        <v/>
      </c>
      <c r="F1183" s="25" t="str">
        <f>IFERROR(VLOOKUP($B1183,テーブル12[],3,FALSE),"")</f>
        <v/>
      </c>
      <c r="G1183" s="31" t="str">
        <f>IFERROR(VLOOKUP($B1183,テーブル12[],4,FALSE),"")</f>
        <v/>
      </c>
      <c r="H1183" s="25" t="str">
        <f t="shared" si="24"/>
        <v/>
      </c>
    </row>
    <row r="1184" spans="4:8">
      <c r="D1184" s="27" t="str">
        <f>IFERROR(VLOOKUP(A1184,テーブル11[],2,FALSE),"")</f>
        <v/>
      </c>
      <c r="E1184" s="25" t="str">
        <f>IFERROR(VLOOKUP($B1184,テーブル12[],2,FALSE),"")</f>
        <v/>
      </c>
      <c r="F1184" s="25" t="str">
        <f>IFERROR(VLOOKUP($B1184,テーブル12[],3,FALSE),"")</f>
        <v/>
      </c>
      <c r="G1184" s="31" t="str">
        <f>IFERROR(VLOOKUP($B1184,テーブル12[],4,FALSE),"")</f>
        <v/>
      </c>
      <c r="H1184" s="25" t="str">
        <f t="shared" si="24"/>
        <v/>
      </c>
    </row>
    <row r="1185" spans="4:8">
      <c r="D1185" s="27" t="str">
        <f>IFERROR(VLOOKUP(A1185,テーブル11[],2,FALSE),"")</f>
        <v/>
      </c>
      <c r="E1185" s="25" t="str">
        <f>IFERROR(VLOOKUP($B1185,テーブル12[],2,FALSE),"")</f>
        <v/>
      </c>
      <c r="F1185" s="25" t="str">
        <f>IFERROR(VLOOKUP($B1185,テーブル12[],3,FALSE),"")</f>
        <v/>
      </c>
      <c r="G1185" s="31" t="str">
        <f>IFERROR(VLOOKUP($B1185,テーブル12[],4,FALSE),"")</f>
        <v/>
      </c>
      <c r="H1185" s="25" t="str">
        <f t="shared" si="24"/>
        <v/>
      </c>
    </row>
    <row r="1186" spans="4:8">
      <c r="D1186" s="27" t="str">
        <f>IFERROR(VLOOKUP(A1186,テーブル11[],2,FALSE),"")</f>
        <v/>
      </c>
      <c r="E1186" s="25" t="str">
        <f>IFERROR(VLOOKUP($B1186,テーブル12[],2,FALSE),"")</f>
        <v/>
      </c>
      <c r="F1186" s="25" t="str">
        <f>IFERROR(VLOOKUP($B1186,テーブル12[],3,FALSE),"")</f>
        <v/>
      </c>
      <c r="G1186" s="31" t="str">
        <f>IFERROR(VLOOKUP($B1186,テーブル12[],4,FALSE),"")</f>
        <v/>
      </c>
      <c r="H1186" s="25" t="str">
        <f t="shared" si="24"/>
        <v/>
      </c>
    </row>
    <row r="1187" spans="4:8">
      <c r="D1187" s="27" t="str">
        <f>IFERROR(VLOOKUP(A1187,テーブル11[],2,FALSE),"")</f>
        <v/>
      </c>
      <c r="E1187" s="25" t="str">
        <f>IFERROR(VLOOKUP($B1187,テーブル12[],2,FALSE),"")</f>
        <v/>
      </c>
      <c r="F1187" s="25" t="str">
        <f>IFERROR(VLOOKUP($B1187,テーブル12[],3,FALSE),"")</f>
        <v/>
      </c>
      <c r="G1187" s="31" t="str">
        <f>IFERROR(VLOOKUP($B1187,テーブル12[],4,FALSE),"")</f>
        <v/>
      </c>
      <c r="H1187" s="25" t="str">
        <f t="shared" si="24"/>
        <v/>
      </c>
    </row>
    <row r="1188" spans="4:8">
      <c r="D1188" s="27" t="str">
        <f>IFERROR(VLOOKUP(A1188,テーブル11[],2,FALSE),"")</f>
        <v/>
      </c>
      <c r="E1188" s="25" t="str">
        <f>IFERROR(VLOOKUP($B1188,テーブル12[],2,FALSE),"")</f>
        <v/>
      </c>
      <c r="F1188" s="25" t="str">
        <f>IFERROR(VLOOKUP($B1188,テーブル12[],3,FALSE),"")</f>
        <v/>
      </c>
      <c r="G1188" s="31" t="str">
        <f>IFERROR(VLOOKUP($B1188,テーブル12[],4,FALSE),"")</f>
        <v/>
      </c>
      <c r="H1188" s="25" t="str">
        <f t="shared" si="24"/>
        <v/>
      </c>
    </row>
    <row r="1189" spans="4:8">
      <c r="D1189" s="27" t="str">
        <f>IFERROR(VLOOKUP(A1189,テーブル11[],2,FALSE),"")</f>
        <v/>
      </c>
      <c r="E1189" s="25" t="str">
        <f>IFERROR(VLOOKUP($B1189,テーブル12[],2,FALSE),"")</f>
        <v/>
      </c>
      <c r="F1189" s="25" t="str">
        <f>IFERROR(VLOOKUP($B1189,テーブル12[],3,FALSE),"")</f>
        <v/>
      </c>
      <c r="G1189" s="31" t="str">
        <f>IFERROR(VLOOKUP($B1189,テーブル12[],4,FALSE),"")</f>
        <v/>
      </c>
      <c r="H1189" s="25" t="str">
        <f t="shared" si="24"/>
        <v/>
      </c>
    </row>
    <row r="1190" spans="4:8">
      <c r="D1190" s="27" t="str">
        <f>IFERROR(VLOOKUP(A1190,テーブル11[],2,FALSE),"")</f>
        <v/>
      </c>
      <c r="E1190" s="25" t="str">
        <f>IFERROR(VLOOKUP($B1190,テーブル12[],2,FALSE),"")</f>
        <v/>
      </c>
      <c r="F1190" s="25" t="str">
        <f>IFERROR(VLOOKUP($B1190,テーブル12[],3,FALSE),"")</f>
        <v/>
      </c>
      <c r="G1190" s="31" t="str">
        <f>IFERROR(VLOOKUP($B1190,テーブル12[],4,FALSE),"")</f>
        <v/>
      </c>
      <c r="H1190" s="25" t="str">
        <f t="shared" si="24"/>
        <v/>
      </c>
    </row>
    <row r="1191" spans="4:8">
      <c r="D1191" s="27" t="str">
        <f>IFERROR(VLOOKUP(A1191,テーブル11[],2,FALSE),"")</f>
        <v/>
      </c>
      <c r="E1191" s="25" t="str">
        <f>IFERROR(VLOOKUP($B1191,テーブル12[],2,FALSE),"")</f>
        <v/>
      </c>
      <c r="F1191" s="25" t="str">
        <f>IFERROR(VLOOKUP($B1191,テーブル12[],3,FALSE),"")</f>
        <v/>
      </c>
      <c r="G1191" s="31" t="str">
        <f>IFERROR(VLOOKUP($B1191,テーブル12[],4,FALSE),"")</f>
        <v/>
      </c>
      <c r="H1191" s="25" t="str">
        <f t="shared" si="24"/>
        <v/>
      </c>
    </row>
    <row r="1192" spans="4:8">
      <c r="D1192" s="27" t="str">
        <f>IFERROR(VLOOKUP(A1192,テーブル11[],2,FALSE),"")</f>
        <v/>
      </c>
      <c r="E1192" s="25" t="str">
        <f>IFERROR(VLOOKUP($B1192,テーブル12[],2,FALSE),"")</f>
        <v/>
      </c>
      <c r="F1192" s="25" t="str">
        <f>IFERROR(VLOOKUP($B1192,テーブル12[],3,FALSE),"")</f>
        <v/>
      </c>
      <c r="G1192" s="31" t="str">
        <f>IFERROR(VLOOKUP($B1192,テーブル12[],4,FALSE),"")</f>
        <v/>
      </c>
      <c r="H1192" s="25" t="str">
        <f t="shared" si="24"/>
        <v/>
      </c>
    </row>
    <row r="1193" spans="4:8">
      <c r="D1193" s="27" t="str">
        <f>IFERROR(VLOOKUP(A1193,テーブル11[],2,FALSE),"")</f>
        <v/>
      </c>
      <c r="E1193" s="25" t="str">
        <f>IFERROR(VLOOKUP($B1193,テーブル12[],2,FALSE),"")</f>
        <v/>
      </c>
      <c r="F1193" s="25" t="str">
        <f>IFERROR(VLOOKUP($B1193,テーブル12[],3,FALSE),"")</f>
        <v/>
      </c>
      <c r="G1193" s="31" t="str">
        <f>IFERROR(VLOOKUP($B1193,テーブル12[],4,FALSE),"")</f>
        <v/>
      </c>
      <c r="H1193" s="25" t="str">
        <f t="shared" si="24"/>
        <v/>
      </c>
    </row>
    <row r="1194" spans="4:8">
      <c r="D1194" s="27" t="str">
        <f>IFERROR(VLOOKUP(A1194,テーブル11[],2,FALSE),"")</f>
        <v/>
      </c>
      <c r="E1194" s="25" t="str">
        <f>IFERROR(VLOOKUP($B1194,テーブル12[],2,FALSE),"")</f>
        <v/>
      </c>
      <c r="F1194" s="25" t="str">
        <f>IFERROR(VLOOKUP($B1194,テーブル12[],3,FALSE),"")</f>
        <v/>
      </c>
      <c r="G1194" s="31" t="str">
        <f>IFERROR(VLOOKUP($B1194,テーブル12[],4,FALSE),"")</f>
        <v/>
      </c>
      <c r="H1194" s="25" t="str">
        <f t="shared" si="24"/>
        <v/>
      </c>
    </row>
    <row r="1195" spans="4:8">
      <c r="D1195" s="27" t="str">
        <f>IFERROR(VLOOKUP(A1195,テーブル11[],2,FALSE),"")</f>
        <v/>
      </c>
      <c r="E1195" s="25" t="str">
        <f>IFERROR(VLOOKUP($B1195,テーブル12[],2,FALSE),"")</f>
        <v/>
      </c>
      <c r="F1195" s="25" t="str">
        <f>IFERROR(VLOOKUP($B1195,テーブル12[],3,FALSE),"")</f>
        <v/>
      </c>
      <c r="G1195" s="31" t="str">
        <f>IFERROR(VLOOKUP($B1195,テーブル12[],4,FALSE),"")</f>
        <v/>
      </c>
      <c r="H1195" s="25" t="str">
        <f t="shared" si="24"/>
        <v/>
      </c>
    </row>
    <row r="1196" spans="4:8">
      <c r="D1196" s="27" t="str">
        <f>IFERROR(VLOOKUP(A1196,テーブル11[],2,FALSE),"")</f>
        <v/>
      </c>
      <c r="E1196" s="25" t="str">
        <f>IFERROR(VLOOKUP($B1196,テーブル12[],2,FALSE),"")</f>
        <v/>
      </c>
      <c r="F1196" s="25" t="str">
        <f>IFERROR(VLOOKUP($B1196,テーブル12[],3,FALSE),"")</f>
        <v/>
      </c>
      <c r="G1196" s="31" t="str">
        <f>IFERROR(VLOOKUP($B1196,テーブル12[],4,FALSE),"")</f>
        <v/>
      </c>
      <c r="H1196" s="25" t="str">
        <f t="shared" si="24"/>
        <v/>
      </c>
    </row>
    <row r="1197" spans="4:8">
      <c r="D1197" s="27" t="str">
        <f>IFERROR(VLOOKUP(A1197,テーブル11[],2,FALSE),"")</f>
        <v/>
      </c>
      <c r="E1197" s="25" t="str">
        <f>IFERROR(VLOOKUP($B1197,テーブル12[],2,FALSE),"")</f>
        <v/>
      </c>
      <c r="F1197" s="25" t="str">
        <f>IFERROR(VLOOKUP($B1197,テーブル12[],3,FALSE),"")</f>
        <v/>
      </c>
      <c r="G1197" s="31" t="str">
        <f>IFERROR(VLOOKUP($B1197,テーブル12[],4,FALSE),"")</f>
        <v/>
      </c>
      <c r="H1197" s="25" t="str">
        <f t="shared" si="24"/>
        <v/>
      </c>
    </row>
    <row r="1198" spans="4:8">
      <c r="D1198" s="27" t="str">
        <f>IFERROR(VLOOKUP(A1198,テーブル11[],2,FALSE),"")</f>
        <v/>
      </c>
      <c r="E1198" s="25" t="str">
        <f>IFERROR(VLOOKUP($B1198,テーブル12[],2,FALSE),"")</f>
        <v/>
      </c>
      <c r="F1198" s="25" t="str">
        <f>IFERROR(VLOOKUP($B1198,テーブル12[],3,FALSE),"")</f>
        <v/>
      </c>
      <c r="G1198" s="31" t="str">
        <f>IFERROR(VLOOKUP($B1198,テーブル12[],4,FALSE),"")</f>
        <v/>
      </c>
      <c r="H1198" s="25" t="str">
        <f t="shared" si="24"/>
        <v/>
      </c>
    </row>
    <row r="1199" spans="4:8">
      <c r="D1199" s="27" t="str">
        <f>IFERROR(VLOOKUP(A1199,テーブル11[],2,FALSE),"")</f>
        <v/>
      </c>
      <c r="E1199" s="25" t="str">
        <f>IFERROR(VLOOKUP($B1199,テーブル12[],2,FALSE),"")</f>
        <v/>
      </c>
      <c r="F1199" s="25" t="str">
        <f>IFERROR(VLOOKUP($B1199,テーブル12[],3,FALSE),"")</f>
        <v/>
      </c>
      <c r="G1199" s="31" t="str">
        <f>IFERROR(VLOOKUP($B1199,テーブル12[],4,FALSE),"")</f>
        <v/>
      </c>
      <c r="H1199" s="25" t="str">
        <f t="shared" si="24"/>
        <v/>
      </c>
    </row>
    <row r="1200" spans="4:8">
      <c r="D1200" s="27" t="str">
        <f>IFERROR(VLOOKUP(A1200,テーブル11[],2,FALSE),"")</f>
        <v/>
      </c>
      <c r="E1200" s="25" t="str">
        <f>IFERROR(VLOOKUP($B1200,テーブル12[],2,FALSE),"")</f>
        <v/>
      </c>
      <c r="F1200" s="25" t="str">
        <f>IFERROR(VLOOKUP($B1200,テーブル12[],3,FALSE),"")</f>
        <v/>
      </c>
      <c r="G1200" s="31" t="str">
        <f>IFERROR(VLOOKUP($B1200,テーブル12[],4,FALSE),"")</f>
        <v/>
      </c>
      <c r="H1200" s="25" t="str">
        <f t="shared" si="24"/>
        <v/>
      </c>
    </row>
    <row r="1201" spans="4:8">
      <c r="D1201" s="27" t="str">
        <f>IFERROR(VLOOKUP(A1201,テーブル11[],2,FALSE),"")</f>
        <v/>
      </c>
      <c r="E1201" s="25" t="str">
        <f>IFERROR(VLOOKUP($B1201,テーブル12[],2,FALSE),"")</f>
        <v/>
      </c>
      <c r="F1201" s="25" t="str">
        <f>IFERROR(VLOOKUP($B1201,テーブル12[],3,FALSE),"")</f>
        <v/>
      </c>
      <c r="G1201" s="31" t="str">
        <f>IFERROR(VLOOKUP($B1201,テーブル12[],4,FALSE),"")</f>
        <v/>
      </c>
      <c r="H1201" s="25" t="str">
        <f t="shared" si="24"/>
        <v/>
      </c>
    </row>
    <row r="1202" spans="4:8">
      <c r="D1202" s="27" t="str">
        <f>IFERROR(VLOOKUP(A1202,テーブル11[],2,FALSE),"")</f>
        <v/>
      </c>
      <c r="E1202" s="25" t="str">
        <f>IFERROR(VLOOKUP($B1202,テーブル12[],2,FALSE),"")</f>
        <v/>
      </c>
      <c r="F1202" s="25" t="str">
        <f>IFERROR(VLOOKUP($B1202,テーブル12[],3,FALSE),"")</f>
        <v/>
      </c>
      <c r="G1202" s="31" t="str">
        <f>IFERROR(VLOOKUP($B1202,テーブル12[],4,FALSE),"")</f>
        <v/>
      </c>
      <c r="H1202" s="25" t="str">
        <f t="shared" si="24"/>
        <v/>
      </c>
    </row>
    <row r="1203" spans="4:8">
      <c r="D1203" s="27" t="str">
        <f>IFERROR(VLOOKUP(A1203,テーブル11[],2,FALSE),"")</f>
        <v/>
      </c>
      <c r="E1203" s="25" t="str">
        <f>IFERROR(VLOOKUP($B1203,テーブル12[],2,FALSE),"")</f>
        <v/>
      </c>
      <c r="F1203" s="25" t="str">
        <f>IFERROR(VLOOKUP($B1203,テーブル12[],3,FALSE),"")</f>
        <v/>
      </c>
      <c r="G1203" s="31" t="str">
        <f>IFERROR(VLOOKUP($B1203,テーブル12[],4,FALSE),"")</f>
        <v/>
      </c>
      <c r="H1203" s="25" t="str">
        <f t="shared" si="24"/>
        <v/>
      </c>
    </row>
    <row r="1204" spans="4:8">
      <c r="D1204" s="27" t="str">
        <f>IFERROR(VLOOKUP(A1204,テーブル11[],2,FALSE),"")</f>
        <v/>
      </c>
      <c r="E1204" s="25" t="str">
        <f>IFERROR(VLOOKUP($B1204,テーブル12[],2,FALSE),"")</f>
        <v/>
      </c>
      <c r="F1204" s="25" t="str">
        <f>IFERROR(VLOOKUP($B1204,テーブル12[],3,FALSE),"")</f>
        <v/>
      </c>
      <c r="G1204" s="31" t="str">
        <f>IFERROR(VLOOKUP($B1204,テーブル12[],4,FALSE),"")</f>
        <v/>
      </c>
      <c r="H1204" s="25" t="str">
        <f t="shared" si="24"/>
        <v/>
      </c>
    </row>
    <row r="1205" spans="4:8">
      <c r="D1205" s="27" t="str">
        <f>IFERROR(VLOOKUP(A1205,テーブル11[],2,FALSE),"")</f>
        <v/>
      </c>
      <c r="E1205" s="25" t="str">
        <f>IFERROR(VLOOKUP($B1205,テーブル12[],2,FALSE),"")</f>
        <v/>
      </c>
      <c r="F1205" s="25" t="str">
        <f>IFERROR(VLOOKUP($B1205,テーブル12[],3,FALSE),"")</f>
        <v/>
      </c>
      <c r="G1205" s="31" t="str">
        <f>IFERROR(VLOOKUP($B1205,テーブル12[],4,FALSE),"")</f>
        <v/>
      </c>
      <c r="H1205" s="25" t="str">
        <f t="shared" si="24"/>
        <v/>
      </c>
    </row>
    <row r="1206" spans="4:8">
      <c r="D1206" s="27" t="str">
        <f>IFERROR(VLOOKUP(A1206,テーブル11[],2,FALSE),"")</f>
        <v/>
      </c>
      <c r="E1206" s="25" t="str">
        <f>IFERROR(VLOOKUP($B1206,テーブル12[],2,FALSE),"")</f>
        <v/>
      </c>
      <c r="F1206" s="25" t="str">
        <f>IFERROR(VLOOKUP($B1206,テーブル12[],3,FALSE),"")</f>
        <v/>
      </c>
      <c r="G1206" s="31" t="str">
        <f>IFERROR(VLOOKUP($B1206,テーブル12[],4,FALSE),"")</f>
        <v/>
      </c>
      <c r="H1206" s="25" t="str">
        <f t="shared" si="24"/>
        <v/>
      </c>
    </row>
    <row r="1207" spans="4:8">
      <c r="D1207" s="27" t="str">
        <f>IFERROR(VLOOKUP(A1207,テーブル11[],2,FALSE),"")</f>
        <v/>
      </c>
      <c r="E1207" s="25" t="str">
        <f>IFERROR(VLOOKUP($B1207,テーブル12[],2,FALSE),"")</f>
        <v/>
      </c>
      <c r="F1207" s="25" t="str">
        <f>IFERROR(VLOOKUP($B1207,テーブル12[],3,FALSE),"")</f>
        <v/>
      </c>
      <c r="G1207" s="31" t="str">
        <f>IFERROR(VLOOKUP($B1207,テーブル12[],4,FALSE),"")</f>
        <v/>
      </c>
      <c r="H1207" s="25" t="str">
        <f t="shared" si="24"/>
        <v/>
      </c>
    </row>
    <row r="1208" spans="4:8">
      <c r="D1208" s="27" t="str">
        <f>IFERROR(VLOOKUP(A1208,テーブル11[],2,FALSE),"")</f>
        <v/>
      </c>
      <c r="E1208" s="25" t="str">
        <f>IFERROR(VLOOKUP($B1208,テーブル12[],2,FALSE),"")</f>
        <v/>
      </c>
      <c r="F1208" s="25" t="str">
        <f>IFERROR(VLOOKUP($B1208,テーブル12[],3,FALSE),"")</f>
        <v/>
      </c>
      <c r="G1208" s="31" t="str">
        <f>IFERROR(VLOOKUP($B1208,テーブル12[],4,FALSE),"")</f>
        <v/>
      </c>
      <c r="H1208" s="25" t="str">
        <f t="shared" si="24"/>
        <v/>
      </c>
    </row>
    <row r="1209" spans="4:8">
      <c r="D1209" s="27" t="str">
        <f>IFERROR(VLOOKUP(A1209,テーブル11[],2,FALSE),"")</f>
        <v/>
      </c>
      <c r="E1209" s="25" t="str">
        <f>IFERROR(VLOOKUP($B1209,テーブル12[],2,FALSE),"")</f>
        <v/>
      </c>
      <c r="F1209" s="25" t="str">
        <f>IFERROR(VLOOKUP($B1209,テーブル12[],3,FALSE),"")</f>
        <v/>
      </c>
      <c r="G1209" s="31" t="str">
        <f>IFERROR(VLOOKUP($B1209,テーブル12[],4,FALSE),"")</f>
        <v/>
      </c>
      <c r="H1209" s="25" t="str">
        <f t="shared" si="24"/>
        <v/>
      </c>
    </row>
    <row r="1210" spans="4:8">
      <c r="D1210" s="27" t="str">
        <f>IFERROR(VLOOKUP(A1210,テーブル11[],2,FALSE),"")</f>
        <v/>
      </c>
      <c r="E1210" s="25" t="str">
        <f>IFERROR(VLOOKUP($B1210,テーブル12[],2,FALSE),"")</f>
        <v/>
      </c>
      <c r="F1210" s="25" t="str">
        <f>IFERROR(VLOOKUP($B1210,テーブル12[],3,FALSE),"")</f>
        <v/>
      </c>
      <c r="G1210" s="31" t="str">
        <f>IFERROR(VLOOKUP($B1210,テーブル12[],4,FALSE),"")</f>
        <v/>
      </c>
      <c r="H1210" s="25" t="str">
        <f t="shared" si="24"/>
        <v/>
      </c>
    </row>
    <row r="1211" spans="4:8">
      <c r="D1211" s="27" t="str">
        <f>IFERROR(VLOOKUP(A1211,テーブル11[],2,FALSE),"")</f>
        <v/>
      </c>
      <c r="E1211" s="25" t="str">
        <f>IFERROR(VLOOKUP($B1211,テーブル12[],2,FALSE),"")</f>
        <v/>
      </c>
      <c r="F1211" s="25" t="str">
        <f>IFERROR(VLOOKUP($B1211,テーブル12[],3,FALSE),"")</f>
        <v/>
      </c>
      <c r="G1211" s="31" t="str">
        <f>IFERROR(VLOOKUP($B1211,テーブル12[],4,FALSE),"")</f>
        <v/>
      </c>
      <c r="H1211" s="25" t="str">
        <f t="shared" si="24"/>
        <v/>
      </c>
    </row>
    <row r="1212" spans="4:8">
      <c r="D1212" s="27" t="str">
        <f>IFERROR(VLOOKUP(A1212,テーブル11[],2,FALSE),"")</f>
        <v/>
      </c>
      <c r="E1212" s="25" t="str">
        <f>IFERROR(VLOOKUP($B1212,テーブル12[],2,FALSE),"")</f>
        <v/>
      </c>
      <c r="F1212" s="25" t="str">
        <f>IFERROR(VLOOKUP($B1212,テーブル12[],3,FALSE),"")</f>
        <v/>
      </c>
      <c r="G1212" s="31" t="str">
        <f>IFERROR(VLOOKUP($B1212,テーブル12[],4,FALSE),"")</f>
        <v/>
      </c>
      <c r="H1212" s="25" t="str">
        <f t="shared" si="24"/>
        <v/>
      </c>
    </row>
    <row r="1213" spans="4:8">
      <c r="D1213" s="27" t="str">
        <f>IFERROR(VLOOKUP(A1213,テーブル11[],2,FALSE),"")</f>
        <v/>
      </c>
      <c r="E1213" s="25" t="str">
        <f>IFERROR(VLOOKUP($B1213,テーブル12[],2,FALSE),"")</f>
        <v/>
      </c>
      <c r="F1213" s="25" t="str">
        <f>IFERROR(VLOOKUP($B1213,テーブル12[],3,FALSE),"")</f>
        <v/>
      </c>
      <c r="G1213" s="31" t="str">
        <f>IFERROR(VLOOKUP($B1213,テーブル12[],4,FALSE),"")</f>
        <v/>
      </c>
      <c r="H1213" s="25" t="str">
        <f t="shared" si="24"/>
        <v/>
      </c>
    </row>
    <row r="1214" spans="4:8">
      <c r="D1214" s="27" t="str">
        <f>IFERROR(VLOOKUP(A1214,テーブル11[],2,FALSE),"")</f>
        <v/>
      </c>
      <c r="E1214" s="25" t="str">
        <f>IFERROR(VLOOKUP($B1214,テーブル12[],2,FALSE),"")</f>
        <v/>
      </c>
      <c r="F1214" s="25" t="str">
        <f>IFERROR(VLOOKUP($B1214,テーブル12[],3,FALSE),"")</f>
        <v/>
      </c>
      <c r="G1214" s="31" t="str">
        <f>IFERROR(VLOOKUP($B1214,テーブル12[],4,FALSE),"")</f>
        <v/>
      </c>
      <c r="H1214" s="25" t="str">
        <f t="shared" si="24"/>
        <v/>
      </c>
    </row>
    <row r="1215" spans="4:8">
      <c r="D1215" s="27" t="str">
        <f>IFERROR(VLOOKUP(A1215,テーブル11[],2,FALSE),"")</f>
        <v/>
      </c>
      <c r="E1215" s="25" t="str">
        <f>IFERROR(VLOOKUP($B1215,テーブル12[],2,FALSE),"")</f>
        <v/>
      </c>
      <c r="F1215" s="25" t="str">
        <f>IFERROR(VLOOKUP($B1215,テーブル12[],3,FALSE),"")</f>
        <v/>
      </c>
      <c r="G1215" s="31" t="str">
        <f>IFERROR(VLOOKUP($B1215,テーブル12[],4,FALSE),"")</f>
        <v/>
      </c>
      <c r="H1215" s="25" t="str">
        <f t="shared" si="24"/>
        <v/>
      </c>
    </row>
    <row r="1216" spans="4:8">
      <c r="D1216" s="27" t="str">
        <f>IFERROR(VLOOKUP(A1216,テーブル11[],2,FALSE),"")</f>
        <v/>
      </c>
      <c r="E1216" s="25" t="str">
        <f>IFERROR(VLOOKUP($B1216,テーブル12[],2,FALSE),"")</f>
        <v/>
      </c>
      <c r="F1216" s="25" t="str">
        <f>IFERROR(VLOOKUP($B1216,テーブル12[],3,FALSE),"")</f>
        <v/>
      </c>
      <c r="G1216" s="31" t="str">
        <f>IFERROR(VLOOKUP($B1216,テーブル12[],4,FALSE),"")</f>
        <v/>
      </c>
      <c r="H1216" s="25" t="str">
        <f t="shared" si="24"/>
        <v/>
      </c>
    </row>
    <row r="1217" spans="4:8">
      <c r="D1217" s="27" t="str">
        <f>IFERROR(VLOOKUP(A1217,テーブル11[],2,FALSE),"")</f>
        <v/>
      </c>
      <c r="E1217" s="25" t="str">
        <f>IFERROR(VLOOKUP($B1217,テーブル12[],2,FALSE),"")</f>
        <v/>
      </c>
      <c r="F1217" s="25" t="str">
        <f>IFERROR(VLOOKUP($B1217,テーブル12[],3,FALSE),"")</f>
        <v/>
      </c>
      <c r="G1217" s="31" t="str">
        <f>IFERROR(VLOOKUP($B1217,テーブル12[],4,FALSE),"")</f>
        <v/>
      </c>
      <c r="H1217" s="25" t="str">
        <f t="shared" si="24"/>
        <v/>
      </c>
    </row>
    <row r="1218" spans="4:8">
      <c r="D1218" s="27" t="str">
        <f>IFERROR(VLOOKUP(A1218,テーブル11[],2,FALSE),"")</f>
        <v/>
      </c>
      <c r="E1218" s="25" t="str">
        <f>IFERROR(VLOOKUP($B1218,テーブル12[],2,FALSE),"")</f>
        <v/>
      </c>
      <c r="F1218" s="25" t="str">
        <f>IFERROR(VLOOKUP($B1218,テーブル12[],3,FALSE),"")</f>
        <v/>
      </c>
      <c r="G1218" s="31" t="str">
        <f>IFERROR(VLOOKUP($B1218,テーブル12[],4,FALSE),"")</f>
        <v/>
      </c>
      <c r="H1218" s="25" t="str">
        <f t="shared" ref="H1218:H1281" si="25">IF(C1218=0,"",C1218)</f>
        <v/>
      </c>
    </row>
    <row r="1219" spans="4:8">
      <c r="D1219" s="27" t="str">
        <f>IFERROR(VLOOKUP(A1219,テーブル11[],2,FALSE),"")</f>
        <v/>
      </c>
      <c r="E1219" s="25" t="str">
        <f>IFERROR(VLOOKUP($B1219,テーブル12[],2,FALSE),"")</f>
        <v/>
      </c>
      <c r="F1219" s="25" t="str">
        <f>IFERROR(VLOOKUP($B1219,テーブル12[],3,FALSE),"")</f>
        <v/>
      </c>
      <c r="G1219" s="31" t="str">
        <f>IFERROR(VLOOKUP($B1219,テーブル12[],4,FALSE),"")</f>
        <v/>
      </c>
      <c r="H1219" s="25" t="str">
        <f t="shared" si="25"/>
        <v/>
      </c>
    </row>
    <row r="1220" spans="4:8">
      <c r="D1220" s="27" t="str">
        <f>IFERROR(VLOOKUP(A1220,テーブル11[],2,FALSE),"")</f>
        <v/>
      </c>
      <c r="E1220" s="25" t="str">
        <f>IFERROR(VLOOKUP($B1220,テーブル12[],2,FALSE),"")</f>
        <v/>
      </c>
      <c r="F1220" s="25" t="str">
        <f>IFERROR(VLOOKUP($B1220,テーブル12[],3,FALSE),"")</f>
        <v/>
      </c>
      <c r="G1220" s="31" t="str">
        <f>IFERROR(VLOOKUP($B1220,テーブル12[],4,FALSE),"")</f>
        <v/>
      </c>
      <c r="H1220" s="25" t="str">
        <f t="shared" si="25"/>
        <v/>
      </c>
    </row>
    <row r="1221" spans="4:8">
      <c r="D1221" s="27" t="str">
        <f>IFERROR(VLOOKUP(A1221,テーブル11[],2,FALSE),"")</f>
        <v/>
      </c>
      <c r="E1221" s="25" t="str">
        <f>IFERROR(VLOOKUP($B1221,テーブル12[],2,FALSE),"")</f>
        <v/>
      </c>
      <c r="F1221" s="25" t="str">
        <f>IFERROR(VLOOKUP($B1221,テーブル12[],3,FALSE),"")</f>
        <v/>
      </c>
      <c r="G1221" s="31" t="str">
        <f>IFERROR(VLOOKUP($B1221,テーブル12[],4,FALSE),"")</f>
        <v/>
      </c>
      <c r="H1221" s="25" t="str">
        <f t="shared" si="25"/>
        <v/>
      </c>
    </row>
    <row r="1222" spans="4:8">
      <c r="D1222" s="27" t="str">
        <f>IFERROR(VLOOKUP(A1222,テーブル11[],2,FALSE),"")</f>
        <v/>
      </c>
      <c r="E1222" s="25" t="str">
        <f>IFERROR(VLOOKUP($B1222,テーブル12[],2,FALSE),"")</f>
        <v/>
      </c>
      <c r="F1222" s="25" t="str">
        <f>IFERROR(VLOOKUP($B1222,テーブル12[],3,FALSE),"")</f>
        <v/>
      </c>
      <c r="G1222" s="31" t="str">
        <f>IFERROR(VLOOKUP($B1222,テーブル12[],4,FALSE),"")</f>
        <v/>
      </c>
      <c r="H1222" s="25" t="str">
        <f t="shared" si="25"/>
        <v/>
      </c>
    </row>
    <row r="1223" spans="4:8">
      <c r="D1223" s="27" t="str">
        <f>IFERROR(VLOOKUP(A1223,テーブル11[],2,FALSE),"")</f>
        <v/>
      </c>
      <c r="E1223" s="25" t="str">
        <f>IFERROR(VLOOKUP($B1223,テーブル12[],2,FALSE),"")</f>
        <v/>
      </c>
      <c r="F1223" s="25" t="str">
        <f>IFERROR(VLOOKUP($B1223,テーブル12[],3,FALSE),"")</f>
        <v/>
      </c>
      <c r="G1223" s="31" t="str">
        <f>IFERROR(VLOOKUP($B1223,テーブル12[],4,FALSE),"")</f>
        <v/>
      </c>
      <c r="H1223" s="25" t="str">
        <f t="shared" si="25"/>
        <v/>
      </c>
    </row>
    <row r="1224" spans="4:8">
      <c r="D1224" s="27" t="str">
        <f>IFERROR(VLOOKUP(A1224,テーブル11[],2,FALSE),"")</f>
        <v/>
      </c>
      <c r="E1224" s="25" t="str">
        <f>IFERROR(VLOOKUP($B1224,テーブル12[],2,FALSE),"")</f>
        <v/>
      </c>
      <c r="F1224" s="25" t="str">
        <f>IFERROR(VLOOKUP($B1224,テーブル12[],3,FALSE),"")</f>
        <v/>
      </c>
      <c r="G1224" s="31" t="str">
        <f>IFERROR(VLOOKUP($B1224,テーブル12[],4,FALSE),"")</f>
        <v/>
      </c>
      <c r="H1224" s="25" t="str">
        <f t="shared" si="25"/>
        <v/>
      </c>
    </row>
    <row r="1225" spans="4:8">
      <c r="D1225" s="27" t="str">
        <f>IFERROR(VLOOKUP(A1225,テーブル11[],2,FALSE),"")</f>
        <v/>
      </c>
      <c r="E1225" s="25" t="str">
        <f>IFERROR(VLOOKUP($B1225,テーブル12[],2,FALSE),"")</f>
        <v/>
      </c>
      <c r="F1225" s="25" t="str">
        <f>IFERROR(VLOOKUP($B1225,テーブル12[],3,FALSE),"")</f>
        <v/>
      </c>
      <c r="G1225" s="31" t="str">
        <f>IFERROR(VLOOKUP($B1225,テーブル12[],4,FALSE),"")</f>
        <v/>
      </c>
      <c r="H1225" s="25" t="str">
        <f t="shared" si="25"/>
        <v/>
      </c>
    </row>
    <row r="1226" spans="4:8">
      <c r="D1226" s="27" t="str">
        <f>IFERROR(VLOOKUP(A1226,テーブル11[],2,FALSE),"")</f>
        <v/>
      </c>
      <c r="E1226" s="25" t="str">
        <f>IFERROR(VLOOKUP($B1226,テーブル12[],2,FALSE),"")</f>
        <v/>
      </c>
      <c r="F1226" s="25" t="str">
        <f>IFERROR(VLOOKUP($B1226,テーブル12[],3,FALSE),"")</f>
        <v/>
      </c>
      <c r="G1226" s="31" t="str">
        <f>IFERROR(VLOOKUP($B1226,テーブル12[],4,FALSE),"")</f>
        <v/>
      </c>
      <c r="H1226" s="25" t="str">
        <f t="shared" si="25"/>
        <v/>
      </c>
    </row>
    <row r="1227" spans="4:8">
      <c r="D1227" s="27" t="str">
        <f>IFERROR(VLOOKUP(A1227,テーブル11[],2,FALSE),"")</f>
        <v/>
      </c>
      <c r="E1227" s="25" t="str">
        <f>IFERROR(VLOOKUP($B1227,テーブル12[],2,FALSE),"")</f>
        <v/>
      </c>
      <c r="F1227" s="25" t="str">
        <f>IFERROR(VLOOKUP($B1227,テーブル12[],3,FALSE),"")</f>
        <v/>
      </c>
      <c r="G1227" s="31" t="str">
        <f>IFERROR(VLOOKUP($B1227,テーブル12[],4,FALSE),"")</f>
        <v/>
      </c>
      <c r="H1227" s="25" t="str">
        <f t="shared" si="25"/>
        <v/>
      </c>
    </row>
    <row r="1228" spans="4:8">
      <c r="D1228" s="27" t="str">
        <f>IFERROR(VLOOKUP(A1228,テーブル11[],2,FALSE),"")</f>
        <v/>
      </c>
      <c r="E1228" s="25" t="str">
        <f>IFERROR(VLOOKUP($B1228,テーブル12[],2,FALSE),"")</f>
        <v/>
      </c>
      <c r="F1228" s="25" t="str">
        <f>IFERROR(VLOOKUP($B1228,テーブル12[],3,FALSE),"")</f>
        <v/>
      </c>
      <c r="G1228" s="31" t="str">
        <f>IFERROR(VLOOKUP($B1228,テーブル12[],4,FALSE),"")</f>
        <v/>
      </c>
      <c r="H1228" s="25" t="str">
        <f t="shared" si="25"/>
        <v/>
      </c>
    </row>
    <row r="1229" spans="4:8">
      <c r="D1229" s="27" t="str">
        <f>IFERROR(VLOOKUP(A1229,テーブル11[],2,FALSE),"")</f>
        <v/>
      </c>
      <c r="E1229" s="25" t="str">
        <f>IFERROR(VLOOKUP($B1229,テーブル12[],2,FALSE),"")</f>
        <v/>
      </c>
      <c r="F1229" s="25" t="str">
        <f>IFERROR(VLOOKUP($B1229,テーブル12[],3,FALSE),"")</f>
        <v/>
      </c>
      <c r="G1229" s="31" t="str">
        <f>IFERROR(VLOOKUP($B1229,テーブル12[],4,FALSE),"")</f>
        <v/>
      </c>
      <c r="H1229" s="25" t="str">
        <f t="shared" si="25"/>
        <v/>
      </c>
    </row>
    <row r="1230" spans="4:8">
      <c r="D1230" s="27" t="str">
        <f>IFERROR(VLOOKUP(A1230,テーブル11[],2,FALSE),"")</f>
        <v/>
      </c>
      <c r="E1230" s="25" t="str">
        <f>IFERROR(VLOOKUP($B1230,テーブル12[],2,FALSE),"")</f>
        <v/>
      </c>
      <c r="F1230" s="25" t="str">
        <f>IFERROR(VLOOKUP($B1230,テーブル12[],3,FALSE),"")</f>
        <v/>
      </c>
      <c r="G1230" s="31" t="str">
        <f>IFERROR(VLOOKUP($B1230,テーブル12[],4,FALSE),"")</f>
        <v/>
      </c>
      <c r="H1230" s="25" t="str">
        <f t="shared" si="25"/>
        <v/>
      </c>
    </row>
    <row r="1231" spans="4:8">
      <c r="D1231" s="27" t="str">
        <f>IFERROR(VLOOKUP(A1231,テーブル11[],2,FALSE),"")</f>
        <v/>
      </c>
      <c r="E1231" s="25" t="str">
        <f>IFERROR(VLOOKUP($B1231,テーブル12[],2,FALSE),"")</f>
        <v/>
      </c>
      <c r="F1231" s="25" t="str">
        <f>IFERROR(VLOOKUP($B1231,テーブル12[],3,FALSE),"")</f>
        <v/>
      </c>
      <c r="G1231" s="31" t="str">
        <f>IFERROR(VLOOKUP($B1231,テーブル12[],4,FALSE),"")</f>
        <v/>
      </c>
      <c r="H1231" s="25" t="str">
        <f t="shared" si="25"/>
        <v/>
      </c>
    </row>
    <row r="1232" spans="4:8">
      <c r="D1232" s="27" t="str">
        <f>IFERROR(VLOOKUP(A1232,テーブル11[],2,FALSE),"")</f>
        <v/>
      </c>
      <c r="E1232" s="25" t="str">
        <f>IFERROR(VLOOKUP($B1232,テーブル12[],2,FALSE),"")</f>
        <v/>
      </c>
      <c r="F1232" s="25" t="str">
        <f>IFERROR(VLOOKUP($B1232,テーブル12[],3,FALSE),"")</f>
        <v/>
      </c>
      <c r="G1232" s="31" t="str">
        <f>IFERROR(VLOOKUP($B1232,テーブル12[],4,FALSE),"")</f>
        <v/>
      </c>
      <c r="H1232" s="25" t="str">
        <f t="shared" si="25"/>
        <v/>
      </c>
    </row>
    <row r="1233" spans="4:8">
      <c r="D1233" s="27" t="str">
        <f>IFERROR(VLOOKUP(A1233,テーブル11[],2,FALSE),"")</f>
        <v/>
      </c>
      <c r="E1233" s="25" t="str">
        <f>IFERROR(VLOOKUP($B1233,テーブル12[],2,FALSE),"")</f>
        <v/>
      </c>
      <c r="F1233" s="25" t="str">
        <f>IFERROR(VLOOKUP($B1233,テーブル12[],3,FALSE),"")</f>
        <v/>
      </c>
      <c r="G1233" s="31" t="str">
        <f>IFERROR(VLOOKUP($B1233,テーブル12[],4,FALSE),"")</f>
        <v/>
      </c>
      <c r="H1233" s="25" t="str">
        <f t="shared" si="25"/>
        <v/>
      </c>
    </row>
    <row r="1234" spans="4:8">
      <c r="D1234" s="27" t="str">
        <f>IFERROR(VLOOKUP(A1234,テーブル11[],2,FALSE),"")</f>
        <v/>
      </c>
      <c r="E1234" s="25" t="str">
        <f>IFERROR(VLOOKUP($B1234,テーブル12[],2,FALSE),"")</f>
        <v/>
      </c>
      <c r="F1234" s="25" t="str">
        <f>IFERROR(VLOOKUP($B1234,テーブル12[],3,FALSE),"")</f>
        <v/>
      </c>
      <c r="G1234" s="31" t="str">
        <f>IFERROR(VLOOKUP($B1234,テーブル12[],4,FALSE),"")</f>
        <v/>
      </c>
      <c r="H1234" s="25" t="str">
        <f t="shared" si="25"/>
        <v/>
      </c>
    </row>
    <row r="1235" spans="4:8">
      <c r="D1235" s="27" t="str">
        <f>IFERROR(VLOOKUP(A1235,テーブル11[],2,FALSE),"")</f>
        <v/>
      </c>
      <c r="E1235" s="25" t="str">
        <f>IFERROR(VLOOKUP($B1235,テーブル12[],2,FALSE),"")</f>
        <v/>
      </c>
      <c r="F1235" s="25" t="str">
        <f>IFERROR(VLOOKUP($B1235,テーブル12[],3,FALSE),"")</f>
        <v/>
      </c>
      <c r="G1235" s="31" t="str">
        <f>IFERROR(VLOOKUP($B1235,テーブル12[],4,FALSE),"")</f>
        <v/>
      </c>
      <c r="H1235" s="25" t="str">
        <f t="shared" si="25"/>
        <v/>
      </c>
    </row>
    <row r="1236" spans="4:8">
      <c r="D1236" s="27" t="str">
        <f>IFERROR(VLOOKUP(A1236,テーブル11[],2,FALSE),"")</f>
        <v/>
      </c>
      <c r="E1236" s="25" t="str">
        <f>IFERROR(VLOOKUP($B1236,テーブル12[],2,FALSE),"")</f>
        <v/>
      </c>
      <c r="F1236" s="25" t="str">
        <f>IFERROR(VLOOKUP($B1236,テーブル12[],3,FALSE),"")</f>
        <v/>
      </c>
      <c r="G1236" s="31" t="str">
        <f>IFERROR(VLOOKUP($B1236,テーブル12[],4,FALSE),"")</f>
        <v/>
      </c>
      <c r="H1236" s="25" t="str">
        <f t="shared" si="25"/>
        <v/>
      </c>
    </row>
    <row r="1237" spans="4:8">
      <c r="D1237" s="27" t="str">
        <f>IFERROR(VLOOKUP(A1237,テーブル11[],2,FALSE),"")</f>
        <v/>
      </c>
      <c r="E1237" s="25" t="str">
        <f>IFERROR(VLOOKUP($B1237,テーブル12[],2,FALSE),"")</f>
        <v/>
      </c>
      <c r="F1237" s="25" t="str">
        <f>IFERROR(VLOOKUP($B1237,テーブル12[],3,FALSE),"")</f>
        <v/>
      </c>
      <c r="G1237" s="31" t="str">
        <f>IFERROR(VLOOKUP($B1237,テーブル12[],4,FALSE),"")</f>
        <v/>
      </c>
      <c r="H1237" s="25" t="str">
        <f t="shared" si="25"/>
        <v/>
      </c>
    </row>
    <row r="1238" spans="4:8">
      <c r="D1238" s="27" t="str">
        <f>IFERROR(VLOOKUP(A1238,テーブル11[],2,FALSE),"")</f>
        <v/>
      </c>
      <c r="E1238" s="25" t="str">
        <f>IFERROR(VLOOKUP($B1238,テーブル12[],2,FALSE),"")</f>
        <v/>
      </c>
      <c r="F1238" s="25" t="str">
        <f>IFERROR(VLOOKUP($B1238,テーブル12[],3,FALSE),"")</f>
        <v/>
      </c>
      <c r="G1238" s="31" t="str">
        <f>IFERROR(VLOOKUP($B1238,テーブル12[],4,FALSE),"")</f>
        <v/>
      </c>
      <c r="H1238" s="25" t="str">
        <f t="shared" si="25"/>
        <v/>
      </c>
    </row>
    <row r="1239" spans="4:8">
      <c r="D1239" s="27" t="str">
        <f>IFERROR(VLOOKUP(A1239,テーブル11[],2,FALSE),"")</f>
        <v/>
      </c>
      <c r="E1239" s="25" t="str">
        <f>IFERROR(VLOOKUP($B1239,テーブル12[],2,FALSE),"")</f>
        <v/>
      </c>
      <c r="F1239" s="25" t="str">
        <f>IFERROR(VLOOKUP($B1239,テーブル12[],3,FALSE),"")</f>
        <v/>
      </c>
      <c r="G1239" s="31" t="str">
        <f>IFERROR(VLOOKUP($B1239,テーブル12[],4,FALSE),"")</f>
        <v/>
      </c>
      <c r="H1239" s="25" t="str">
        <f t="shared" si="25"/>
        <v/>
      </c>
    </row>
    <row r="1240" spans="4:8">
      <c r="D1240" s="27" t="str">
        <f>IFERROR(VLOOKUP(A1240,テーブル11[],2,FALSE),"")</f>
        <v/>
      </c>
      <c r="E1240" s="25" t="str">
        <f>IFERROR(VLOOKUP($B1240,テーブル12[],2,FALSE),"")</f>
        <v/>
      </c>
      <c r="F1240" s="25" t="str">
        <f>IFERROR(VLOOKUP($B1240,テーブル12[],3,FALSE),"")</f>
        <v/>
      </c>
      <c r="G1240" s="31" t="str">
        <f>IFERROR(VLOOKUP($B1240,テーブル12[],4,FALSE),"")</f>
        <v/>
      </c>
      <c r="H1240" s="25" t="str">
        <f t="shared" si="25"/>
        <v/>
      </c>
    </row>
    <row r="1241" spans="4:8">
      <c r="D1241" s="27" t="str">
        <f>IFERROR(VLOOKUP(A1241,テーブル11[],2,FALSE),"")</f>
        <v/>
      </c>
      <c r="E1241" s="25" t="str">
        <f>IFERROR(VLOOKUP($B1241,テーブル12[],2,FALSE),"")</f>
        <v/>
      </c>
      <c r="F1241" s="25" t="str">
        <f>IFERROR(VLOOKUP($B1241,テーブル12[],3,FALSE),"")</f>
        <v/>
      </c>
      <c r="G1241" s="31" t="str">
        <f>IFERROR(VLOOKUP($B1241,テーブル12[],4,FALSE),"")</f>
        <v/>
      </c>
      <c r="H1241" s="25" t="str">
        <f t="shared" si="25"/>
        <v/>
      </c>
    </row>
    <row r="1242" spans="4:8">
      <c r="D1242" s="27" t="str">
        <f>IFERROR(VLOOKUP(A1242,テーブル11[],2,FALSE),"")</f>
        <v/>
      </c>
      <c r="E1242" s="25" t="str">
        <f>IFERROR(VLOOKUP($B1242,テーブル12[],2,FALSE),"")</f>
        <v/>
      </c>
      <c r="F1242" s="25" t="str">
        <f>IFERROR(VLOOKUP($B1242,テーブル12[],3,FALSE),"")</f>
        <v/>
      </c>
      <c r="G1242" s="31" t="str">
        <f>IFERROR(VLOOKUP($B1242,テーブル12[],4,FALSE),"")</f>
        <v/>
      </c>
      <c r="H1242" s="25" t="str">
        <f t="shared" si="25"/>
        <v/>
      </c>
    </row>
    <row r="1243" spans="4:8">
      <c r="D1243" s="27" t="str">
        <f>IFERROR(VLOOKUP(A1243,テーブル11[],2,FALSE),"")</f>
        <v/>
      </c>
      <c r="E1243" s="25" t="str">
        <f>IFERROR(VLOOKUP($B1243,テーブル12[],2,FALSE),"")</f>
        <v/>
      </c>
      <c r="F1243" s="25" t="str">
        <f>IFERROR(VLOOKUP($B1243,テーブル12[],3,FALSE),"")</f>
        <v/>
      </c>
      <c r="G1243" s="31" t="str">
        <f>IFERROR(VLOOKUP($B1243,テーブル12[],4,FALSE),"")</f>
        <v/>
      </c>
      <c r="H1243" s="25" t="str">
        <f t="shared" si="25"/>
        <v/>
      </c>
    </row>
    <row r="1244" spans="4:8">
      <c r="D1244" s="27" t="str">
        <f>IFERROR(VLOOKUP(A1244,テーブル11[],2,FALSE),"")</f>
        <v/>
      </c>
      <c r="E1244" s="25" t="str">
        <f>IFERROR(VLOOKUP($B1244,テーブル12[],2,FALSE),"")</f>
        <v/>
      </c>
      <c r="F1244" s="25" t="str">
        <f>IFERROR(VLOOKUP($B1244,テーブル12[],3,FALSE),"")</f>
        <v/>
      </c>
      <c r="G1244" s="31" t="str">
        <f>IFERROR(VLOOKUP($B1244,テーブル12[],4,FALSE),"")</f>
        <v/>
      </c>
      <c r="H1244" s="25" t="str">
        <f t="shared" si="25"/>
        <v/>
      </c>
    </row>
    <row r="1245" spans="4:8">
      <c r="D1245" s="27" t="str">
        <f>IFERROR(VLOOKUP(A1245,テーブル11[],2,FALSE),"")</f>
        <v/>
      </c>
      <c r="E1245" s="25" t="str">
        <f>IFERROR(VLOOKUP($B1245,テーブル12[],2,FALSE),"")</f>
        <v/>
      </c>
      <c r="F1245" s="25" t="str">
        <f>IFERROR(VLOOKUP($B1245,テーブル12[],3,FALSE),"")</f>
        <v/>
      </c>
      <c r="G1245" s="31" t="str">
        <f>IFERROR(VLOOKUP($B1245,テーブル12[],4,FALSE),"")</f>
        <v/>
      </c>
      <c r="H1245" s="25" t="str">
        <f t="shared" si="25"/>
        <v/>
      </c>
    </row>
    <row r="1246" spans="4:8">
      <c r="D1246" s="27" t="str">
        <f>IFERROR(VLOOKUP(A1246,テーブル11[],2,FALSE),"")</f>
        <v/>
      </c>
      <c r="E1246" s="25" t="str">
        <f>IFERROR(VLOOKUP($B1246,テーブル12[],2,FALSE),"")</f>
        <v/>
      </c>
      <c r="F1246" s="25" t="str">
        <f>IFERROR(VLOOKUP($B1246,テーブル12[],3,FALSE),"")</f>
        <v/>
      </c>
      <c r="G1246" s="31" t="str">
        <f>IFERROR(VLOOKUP($B1246,テーブル12[],4,FALSE),"")</f>
        <v/>
      </c>
      <c r="H1246" s="25" t="str">
        <f t="shared" si="25"/>
        <v/>
      </c>
    </row>
    <row r="1247" spans="4:8">
      <c r="D1247" s="27" t="str">
        <f>IFERROR(VLOOKUP(A1247,テーブル11[],2,FALSE),"")</f>
        <v/>
      </c>
      <c r="E1247" s="25" t="str">
        <f>IFERROR(VLOOKUP($B1247,テーブル12[],2,FALSE),"")</f>
        <v/>
      </c>
      <c r="F1247" s="25" t="str">
        <f>IFERROR(VLOOKUP($B1247,テーブル12[],3,FALSE),"")</f>
        <v/>
      </c>
      <c r="G1247" s="31" t="str">
        <f>IFERROR(VLOOKUP($B1247,テーブル12[],4,FALSE),"")</f>
        <v/>
      </c>
      <c r="H1247" s="25" t="str">
        <f t="shared" si="25"/>
        <v/>
      </c>
    </row>
    <row r="1248" spans="4:8">
      <c r="D1248" s="27" t="str">
        <f>IFERROR(VLOOKUP(A1248,テーブル11[],2,FALSE),"")</f>
        <v/>
      </c>
      <c r="E1248" s="25" t="str">
        <f>IFERROR(VLOOKUP($B1248,テーブル12[],2,FALSE),"")</f>
        <v/>
      </c>
      <c r="F1248" s="25" t="str">
        <f>IFERROR(VLOOKUP($B1248,テーブル12[],3,FALSE),"")</f>
        <v/>
      </c>
      <c r="G1248" s="31" t="str">
        <f>IFERROR(VLOOKUP($B1248,テーブル12[],4,FALSE),"")</f>
        <v/>
      </c>
      <c r="H1248" s="25" t="str">
        <f t="shared" si="25"/>
        <v/>
      </c>
    </row>
    <row r="1249" spans="4:8">
      <c r="D1249" s="27" t="str">
        <f>IFERROR(VLOOKUP(A1249,テーブル11[],2,FALSE),"")</f>
        <v/>
      </c>
      <c r="E1249" s="25" t="str">
        <f>IFERROR(VLOOKUP($B1249,テーブル12[],2,FALSE),"")</f>
        <v/>
      </c>
      <c r="F1249" s="25" t="str">
        <f>IFERROR(VLOOKUP($B1249,テーブル12[],3,FALSE),"")</f>
        <v/>
      </c>
      <c r="G1249" s="31" t="str">
        <f>IFERROR(VLOOKUP($B1249,テーブル12[],4,FALSE),"")</f>
        <v/>
      </c>
      <c r="H1249" s="25" t="str">
        <f t="shared" si="25"/>
        <v/>
      </c>
    </row>
    <row r="1250" spans="4:8">
      <c r="D1250" s="27" t="str">
        <f>IFERROR(VLOOKUP(A1250,テーブル11[],2,FALSE),"")</f>
        <v/>
      </c>
      <c r="E1250" s="25" t="str">
        <f>IFERROR(VLOOKUP($B1250,テーブル12[],2,FALSE),"")</f>
        <v/>
      </c>
      <c r="F1250" s="25" t="str">
        <f>IFERROR(VLOOKUP($B1250,テーブル12[],3,FALSE),"")</f>
        <v/>
      </c>
      <c r="G1250" s="31" t="str">
        <f>IFERROR(VLOOKUP($B1250,テーブル12[],4,FALSE),"")</f>
        <v/>
      </c>
      <c r="H1250" s="25" t="str">
        <f t="shared" si="25"/>
        <v/>
      </c>
    </row>
    <row r="1251" spans="4:8">
      <c r="D1251" s="27" t="str">
        <f>IFERROR(VLOOKUP(A1251,テーブル11[],2,FALSE),"")</f>
        <v/>
      </c>
      <c r="E1251" s="25" t="str">
        <f>IFERROR(VLOOKUP($B1251,テーブル12[],2,FALSE),"")</f>
        <v/>
      </c>
      <c r="F1251" s="25" t="str">
        <f>IFERROR(VLOOKUP($B1251,テーブル12[],3,FALSE),"")</f>
        <v/>
      </c>
      <c r="G1251" s="31" t="str">
        <f>IFERROR(VLOOKUP($B1251,テーブル12[],4,FALSE),"")</f>
        <v/>
      </c>
      <c r="H1251" s="25" t="str">
        <f t="shared" si="25"/>
        <v/>
      </c>
    </row>
    <row r="1252" spans="4:8">
      <c r="D1252" s="27" t="str">
        <f>IFERROR(VLOOKUP(A1252,テーブル11[],2,FALSE),"")</f>
        <v/>
      </c>
      <c r="E1252" s="25" t="str">
        <f>IFERROR(VLOOKUP($B1252,テーブル12[],2,FALSE),"")</f>
        <v/>
      </c>
      <c r="F1252" s="25" t="str">
        <f>IFERROR(VLOOKUP($B1252,テーブル12[],3,FALSE),"")</f>
        <v/>
      </c>
      <c r="G1252" s="31" t="str">
        <f>IFERROR(VLOOKUP($B1252,テーブル12[],4,FALSE),"")</f>
        <v/>
      </c>
      <c r="H1252" s="25" t="str">
        <f t="shared" si="25"/>
        <v/>
      </c>
    </row>
    <row r="1253" spans="4:8">
      <c r="D1253" s="27" t="str">
        <f>IFERROR(VLOOKUP(A1253,テーブル11[],2,FALSE),"")</f>
        <v/>
      </c>
      <c r="E1253" s="25" t="str">
        <f>IFERROR(VLOOKUP($B1253,テーブル12[],2,FALSE),"")</f>
        <v/>
      </c>
      <c r="F1253" s="25" t="str">
        <f>IFERROR(VLOOKUP($B1253,テーブル12[],3,FALSE),"")</f>
        <v/>
      </c>
      <c r="G1253" s="31" t="str">
        <f>IFERROR(VLOOKUP($B1253,テーブル12[],4,FALSE),"")</f>
        <v/>
      </c>
      <c r="H1253" s="25" t="str">
        <f t="shared" si="25"/>
        <v/>
      </c>
    </row>
    <row r="1254" spans="4:8">
      <c r="D1254" s="27" t="str">
        <f>IFERROR(VLOOKUP(A1254,テーブル11[],2,FALSE),"")</f>
        <v/>
      </c>
      <c r="E1254" s="25" t="str">
        <f>IFERROR(VLOOKUP($B1254,テーブル12[],2,FALSE),"")</f>
        <v/>
      </c>
      <c r="F1254" s="25" t="str">
        <f>IFERROR(VLOOKUP($B1254,テーブル12[],3,FALSE),"")</f>
        <v/>
      </c>
      <c r="G1254" s="31" t="str">
        <f>IFERROR(VLOOKUP($B1254,テーブル12[],4,FALSE),"")</f>
        <v/>
      </c>
      <c r="H1254" s="25" t="str">
        <f t="shared" si="25"/>
        <v/>
      </c>
    </row>
    <row r="1255" spans="4:8">
      <c r="D1255" s="27" t="str">
        <f>IFERROR(VLOOKUP(A1255,テーブル11[],2,FALSE),"")</f>
        <v/>
      </c>
      <c r="E1255" s="25" t="str">
        <f>IFERROR(VLOOKUP($B1255,テーブル12[],2,FALSE),"")</f>
        <v/>
      </c>
      <c r="F1255" s="25" t="str">
        <f>IFERROR(VLOOKUP($B1255,テーブル12[],3,FALSE),"")</f>
        <v/>
      </c>
      <c r="G1255" s="31" t="str">
        <f>IFERROR(VLOOKUP($B1255,テーブル12[],4,FALSE),"")</f>
        <v/>
      </c>
      <c r="H1255" s="25" t="str">
        <f t="shared" si="25"/>
        <v/>
      </c>
    </row>
    <row r="1256" spans="4:8">
      <c r="D1256" s="27" t="str">
        <f>IFERROR(VLOOKUP(A1256,テーブル11[],2,FALSE),"")</f>
        <v/>
      </c>
      <c r="E1256" s="25" t="str">
        <f>IFERROR(VLOOKUP($B1256,テーブル12[],2,FALSE),"")</f>
        <v/>
      </c>
      <c r="F1256" s="25" t="str">
        <f>IFERROR(VLOOKUP($B1256,テーブル12[],3,FALSE),"")</f>
        <v/>
      </c>
      <c r="G1256" s="31" t="str">
        <f>IFERROR(VLOOKUP($B1256,テーブル12[],4,FALSE),"")</f>
        <v/>
      </c>
      <c r="H1256" s="25" t="str">
        <f t="shared" si="25"/>
        <v/>
      </c>
    </row>
    <row r="1257" spans="4:8">
      <c r="D1257" s="27" t="str">
        <f>IFERROR(VLOOKUP(A1257,テーブル11[],2,FALSE),"")</f>
        <v/>
      </c>
      <c r="E1257" s="25" t="str">
        <f>IFERROR(VLOOKUP($B1257,テーブル12[],2,FALSE),"")</f>
        <v/>
      </c>
      <c r="F1257" s="25" t="str">
        <f>IFERROR(VLOOKUP($B1257,テーブル12[],3,FALSE),"")</f>
        <v/>
      </c>
      <c r="G1257" s="31" t="str">
        <f>IFERROR(VLOOKUP($B1257,テーブル12[],4,FALSE),"")</f>
        <v/>
      </c>
      <c r="H1257" s="25" t="str">
        <f t="shared" si="25"/>
        <v/>
      </c>
    </row>
    <row r="1258" spans="4:8">
      <c r="D1258" s="27" t="str">
        <f>IFERROR(VLOOKUP(A1258,テーブル11[],2,FALSE),"")</f>
        <v/>
      </c>
      <c r="E1258" s="25" t="str">
        <f>IFERROR(VLOOKUP($B1258,テーブル12[],2,FALSE),"")</f>
        <v/>
      </c>
      <c r="F1258" s="25" t="str">
        <f>IFERROR(VLOOKUP($B1258,テーブル12[],3,FALSE),"")</f>
        <v/>
      </c>
      <c r="G1258" s="31" t="str">
        <f>IFERROR(VLOOKUP($B1258,テーブル12[],4,FALSE),"")</f>
        <v/>
      </c>
      <c r="H1258" s="25" t="str">
        <f t="shared" si="25"/>
        <v/>
      </c>
    </row>
    <row r="1259" spans="4:8">
      <c r="D1259" s="27" t="str">
        <f>IFERROR(VLOOKUP(A1259,テーブル11[],2,FALSE),"")</f>
        <v/>
      </c>
      <c r="E1259" s="25" t="str">
        <f>IFERROR(VLOOKUP($B1259,テーブル12[],2,FALSE),"")</f>
        <v/>
      </c>
      <c r="F1259" s="25" t="str">
        <f>IFERROR(VLOOKUP($B1259,テーブル12[],3,FALSE),"")</f>
        <v/>
      </c>
      <c r="G1259" s="31" t="str">
        <f>IFERROR(VLOOKUP($B1259,テーブル12[],4,FALSE),"")</f>
        <v/>
      </c>
      <c r="H1259" s="25" t="str">
        <f t="shared" si="25"/>
        <v/>
      </c>
    </row>
    <row r="1260" spans="4:8">
      <c r="D1260" s="27" t="str">
        <f>IFERROR(VLOOKUP(A1260,テーブル11[],2,FALSE),"")</f>
        <v/>
      </c>
      <c r="E1260" s="25" t="str">
        <f>IFERROR(VLOOKUP($B1260,テーブル12[],2,FALSE),"")</f>
        <v/>
      </c>
      <c r="F1260" s="25" t="str">
        <f>IFERROR(VLOOKUP($B1260,テーブル12[],3,FALSE),"")</f>
        <v/>
      </c>
      <c r="G1260" s="31" t="str">
        <f>IFERROR(VLOOKUP($B1260,テーブル12[],4,FALSE),"")</f>
        <v/>
      </c>
      <c r="H1260" s="25" t="str">
        <f t="shared" si="25"/>
        <v/>
      </c>
    </row>
    <row r="1261" spans="4:8">
      <c r="D1261" s="27" t="str">
        <f>IFERROR(VLOOKUP(A1261,テーブル11[],2,FALSE),"")</f>
        <v/>
      </c>
      <c r="E1261" s="25" t="str">
        <f>IFERROR(VLOOKUP($B1261,テーブル12[],2,FALSE),"")</f>
        <v/>
      </c>
      <c r="F1261" s="25" t="str">
        <f>IFERROR(VLOOKUP($B1261,テーブル12[],3,FALSE),"")</f>
        <v/>
      </c>
      <c r="G1261" s="31" t="str">
        <f>IFERROR(VLOOKUP($B1261,テーブル12[],4,FALSE),"")</f>
        <v/>
      </c>
      <c r="H1261" s="25" t="str">
        <f t="shared" si="25"/>
        <v/>
      </c>
    </row>
    <row r="1262" spans="4:8">
      <c r="D1262" s="27" t="str">
        <f>IFERROR(VLOOKUP(A1262,テーブル11[],2,FALSE),"")</f>
        <v/>
      </c>
      <c r="E1262" s="25" t="str">
        <f>IFERROR(VLOOKUP($B1262,テーブル12[],2,FALSE),"")</f>
        <v/>
      </c>
      <c r="F1262" s="25" t="str">
        <f>IFERROR(VLOOKUP($B1262,テーブル12[],3,FALSE),"")</f>
        <v/>
      </c>
      <c r="G1262" s="31" t="str">
        <f>IFERROR(VLOOKUP($B1262,テーブル12[],4,FALSE),"")</f>
        <v/>
      </c>
      <c r="H1262" s="25" t="str">
        <f t="shared" si="25"/>
        <v/>
      </c>
    </row>
    <row r="1263" spans="4:8">
      <c r="D1263" s="27" t="str">
        <f>IFERROR(VLOOKUP(A1263,テーブル11[],2,FALSE),"")</f>
        <v/>
      </c>
      <c r="E1263" s="25" t="str">
        <f>IFERROR(VLOOKUP($B1263,テーブル12[],2,FALSE),"")</f>
        <v/>
      </c>
      <c r="F1263" s="25" t="str">
        <f>IFERROR(VLOOKUP($B1263,テーブル12[],3,FALSE),"")</f>
        <v/>
      </c>
      <c r="G1263" s="31" t="str">
        <f>IFERROR(VLOOKUP($B1263,テーブル12[],4,FALSE),"")</f>
        <v/>
      </c>
      <c r="H1263" s="25" t="str">
        <f t="shared" si="25"/>
        <v/>
      </c>
    </row>
    <row r="1264" spans="4:8">
      <c r="D1264" s="27" t="str">
        <f>IFERROR(VLOOKUP(A1264,テーブル11[],2,FALSE),"")</f>
        <v/>
      </c>
      <c r="E1264" s="25" t="str">
        <f>IFERROR(VLOOKUP($B1264,テーブル12[],2,FALSE),"")</f>
        <v/>
      </c>
      <c r="F1264" s="25" t="str">
        <f>IFERROR(VLOOKUP($B1264,テーブル12[],3,FALSE),"")</f>
        <v/>
      </c>
      <c r="G1264" s="31" t="str">
        <f>IFERROR(VLOOKUP($B1264,テーブル12[],4,FALSE),"")</f>
        <v/>
      </c>
      <c r="H1264" s="25" t="str">
        <f t="shared" si="25"/>
        <v/>
      </c>
    </row>
    <row r="1265" spans="4:8">
      <c r="D1265" s="27" t="str">
        <f>IFERROR(VLOOKUP(A1265,テーブル11[],2,FALSE),"")</f>
        <v/>
      </c>
      <c r="E1265" s="25" t="str">
        <f>IFERROR(VLOOKUP($B1265,テーブル12[],2,FALSE),"")</f>
        <v/>
      </c>
      <c r="F1265" s="25" t="str">
        <f>IFERROR(VLOOKUP($B1265,テーブル12[],3,FALSE),"")</f>
        <v/>
      </c>
      <c r="G1265" s="31" t="str">
        <f>IFERROR(VLOOKUP($B1265,テーブル12[],4,FALSE),"")</f>
        <v/>
      </c>
      <c r="H1265" s="25" t="str">
        <f t="shared" si="25"/>
        <v/>
      </c>
    </row>
    <row r="1266" spans="4:8">
      <c r="D1266" s="27" t="str">
        <f>IFERROR(VLOOKUP(A1266,テーブル11[],2,FALSE),"")</f>
        <v/>
      </c>
      <c r="E1266" s="25" t="str">
        <f>IFERROR(VLOOKUP($B1266,テーブル12[],2,FALSE),"")</f>
        <v/>
      </c>
      <c r="F1266" s="25" t="str">
        <f>IFERROR(VLOOKUP($B1266,テーブル12[],3,FALSE),"")</f>
        <v/>
      </c>
      <c r="G1266" s="31" t="str">
        <f>IFERROR(VLOOKUP($B1266,テーブル12[],4,FALSE),"")</f>
        <v/>
      </c>
      <c r="H1266" s="25" t="str">
        <f t="shared" si="25"/>
        <v/>
      </c>
    </row>
    <row r="1267" spans="4:8">
      <c r="D1267" s="27" t="str">
        <f>IFERROR(VLOOKUP(A1267,テーブル11[],2,FALSE),"")</f>
        <v/>
      </c>
      <c r="E1267" s="25" t="str">
        <f>IFERROR(VLOOKUP($B1267,テーブル12[],2,FALSE),"")</f>
        <v/>
      </c>
      <c r="F1267" s="25" t="str">
        <f>IFERROR(VLOOKUP($B1267,テーブル12[],3,FALSE),"")</f>
        <v/>
      </c>
      <c r="G1267" s="31" t="str">
        <f>IFERROR(VLOOKUP($B1267,テーブル12[],4,FALSE),"")</f>
        <v/>
      </c>
      <c r="H1267" s="25" t="str">
        <f t="shared" si="25"/>
        <v/>
      </c>
    </row>
    <row r="1268" spans="4:8">
      <c r="D1268" s="27" t="str">
        <f>IFERROR(VLOOKUP(A1268,テーブル11[],2,FALSE),"")</f>
        <v/>
      </c>
      <c r="E1268" s="25" t="str">
        <f>IFERROR(VLOOKUP($B1268,テーブル12[],2,FALSE),"")</f>
        <v/>
      </c>
      <c r="F1268" s="25" t="str">
        <f>IFERROR(VLOOKUP($B1268,テーブル12[],3,FALSE),"")</f>
        <v/>
      </c>
      <c r="G1268" s="31" t="str">
        <f>IFERROR(VLOOKUP($B1268,テーブル12[],4,FALSE),"")</f>
        <v/>
      </c>
      <c r="H1268" s="25" t="str">
        <f t="shared" si="25"/>
        <v/>
      </c>
    </row>
    <row r="1269" spans="4:8">
      <c r="D1269" s="27" t="str">
        <f>IFERROR(VLOOKUP(A1269,テーブル11[],2,FALSE),"")</f>
        <v/>
      </c>
      <c r="E1269" s="25" t="str">
        <f>IFERROR(VLOOKUP($B1269,テーブル12[],2,FALSE),"")</f>
        <v/>
      </c>
      <c r="F1269" s="25" t="str">
        <f>IFERROR(VLOOKUP($B1269,テーブル12[],3,FALSE),"")</f>
        <v/>
      </c>
      <c r="G1269" s="31" t="str">
        <f>IFERROR(VLOOKUP($B1269,テーブル12[],4,FALSE),"")</f>
        <v/>
      </c>
      <c r="H1269" s="25" t="str">
        <f t="shared" si="25"/>
        <v/>
      </c>
    </row>
    <row r="1270" spans="4:8">
      <c r="D1270" s="27" t="str">
        <f>IFERROR(VLOOKUP(A1270,テーブル11[],2,FALSE),"")</f>
        <v/>
      </c>
      <c r="E1270" s="25" t="str">
        <f>IFERROR(VLOOKUP($B1270,テーブル12[],2,FALSE),"")</f>
        <v/>
      </c>
      <c r="F1270" s="25" t="str">
        <f>IFERROR(VLOOKUP($B1270,テーブル12[],3,FALSE),"")</f>
        <v/>
      </c>
      <c r="G1270" s="31" t="str">
        <f>IFERROR(VLOOKUP($B1270,テーブル12[],4,FALSE),"")</f>
        <v/>
      </c>
      <c r="H1270" s="25" t="str">
        <f t="shared" si="25"/>
        <v/>
      </c>
    </row>
    <row r="1271" spans="4:8">
      <c r="D1271" s="27" t="str">
        <f>IFERROR(VLOOKUP(A1271,テーブル11[],2,FALSE),"")</f>
        <v/>
      </c>
      <c r="E1271" s="25" t="str">
        <f>IFERROR(VLOOKUP($B1271,テーブル12[],2,FALSE),"")</f>
        <v/>
      </c>
      <c r="F1271" s="25" t="str">
        <f>IFERROR(VLOOKUP($B1271,テーブル12[],3,FALSE),"")</f>
        <v/>
      </c>
      <c r="G1271" s="31" t="str">
        <f>IFERROR(VLOOKUP($B1271,テーブル12[],4,FALSE),"")</f>
        <v/>
      </c>
      <c r="H1271" s="25" t="str">
        <f t="shared" si="25"/>
        <v/>
      </c>
    </row>
    <row r="1272" spans="4:8">
      <c r="D1272" s="27" t="str">
        <f>IFERROR(VLOOKUP(A1272,テーブル11[],2,FALSE),"")</f>
        <v/>
      </c>
      <c r="E1272" s="25" t="str">
        <f>IFERROR(VLOOKUP($B1272,テーブル12[],2,FALSE),"")</f>
        <v/>
      </c>
      <c r="F1272" s="25" t="str">
        <f>IFERROR(VLOOKUP($B1272,テーブル12[],3,FALSE),"")</f>
        <v/>
      </c>
      <c r="G1272" s="31" t="str">
        <f>IFERROR(VLOOKUP($B1272,テーブル12[],4,FALSE),"")</f>
        <v/>
      </c>
      <c r="H1272" s="25" t="str">
        <f t="shared" si="25"/>
        <v/>
      </c>
    </row>
    <row r="1273" spans="4:8">
      <c r="D1273" s="27" t="str">
        <f>IFERROR(VLOOKUP(A1273,テーブル11[],2,FALSE),"")</f>
        <v/>
      </c>
      <c r="E1273" s="25" t="str">
        <f>IFERROR(VLOOKUP($B1273,テーブル12[],2,FALSE),"")</f>
        <v/>
      </c>
      <c r="F1273" s="25" t="str">
        <f>IFERROR(VLOOKUP($B1273,テーブル12[],3,FALSE),"")</f>
        <v/>
      </c>
      <c r="G1273" s="31" t="str">
        <f>IFERROR(VLOOKUP($B1273,テーブル12[],4,FALSE),"")</f>
        <v/>
      </c>
      <c r="H1273" s="25" t="str">
        <f t="shared" si="25"/>
        <v/>
      </c>
    </row>
    <row r="1274" spans="4:8">
      <c r="D1274" s="27" t="str">
        <f>IFERROR(VLOOKUP(A1274,テーブル11[],2,FALSE),"")</f>
        <v/>
      </c>
      <c r="E1274" s="25" t="str">
        <f>IFERROR(VLOOKUP($B1274,テーブル12[],2,FALSE),"")</f>
        <v/>
      </c>
      <c r="F1274" s="25" t="str">
        <f>IFERROR(VLOOKUP($B1274,テーブル12[],3,FALSE),"")</f>
        <v/>
      </c>
      <c r="G1274" s="31" t="str">
        <f>IFERROR(VLOOKUP($B1274,テーブル12[],4,FALSE),"")</f>
        <v/>
      </c>
      <c r="H1274" s="25" t="str">
        <f t="shared" si="25"/>
        <v/>
      </c>
    </row>
    <row r="1275" spans="4:8">
      <c r="D1275" s="27" t="str">
        <f>IFERROR(VLOOKUP(A1275,テーブル11[],2,FALSE),"")</f>
        <v/>
      </c>
      <c r="E1275" s="25" t="str">
        <f>IFERROR(VLOOKUP($B1275,テーブル12[],2,FALSE),"")</f>
        <v/>
      </c>
      <c r="F1275" s="25" t="str">
        <f>IFERROR(VLOOKUP($B1275,テーブル12[],3,FALSE),"")</f>
        <v/>
      </c>
      <c r="G1275" s="31" t="str">
        <f>IFERROR(VLOOKUP($B1275,テーブル12[],4,FALSE),"")</f>
        <v/>
      </c>
      <c r="H1275" s="25" t="str">
        <f t="shared" si="25"/>
        <v/>
      </c>
    </row>
    <row r="1276" spans="4:8">
      <c r="D1276" s="27" t="str">
        <f>IFERROR(VLOOKUP(A1276,テーブル11[],2,FALSE),"")</f>
        <v/>
      </c>
      <c r="E1276" s="25" t="str">
        <f>IFERROR(VLOOKUP($B1276,テーブル12[],2,FALSE),"")</f>
        <v/>
      </c>
      <c r="F1276" s="25" t="str">
        <f>IFERROR(VLOOKUP($B1276,テーブル12[],3,FALSE),"")</f>
        <v/>
      </c>
      <c r="G1276" s="31" t="str">
        <f>IFERROR(VLOOKUP($B1276,テーブル12[],4,FALSE),"")</f>
        <v/>
      </c>
      <c r="H1276" s="25" t="str">
        <f t="shared" si="25"/>
        <v/>
      </c>
    </row>
    <row r="1277" spans="4:8">
      <c r="D1277" s="27" t="str">
        <f>IFERROR(VLOOKUP(A1277,テーブル11[],2,FALSE),"")</f>
        <v/>
      </c>
      <c r="E1277" s="25" t="str">
        <f>IFERROR(VLOOKUP($B1277,テーブル12[],2,FALSE),"")</f>
        <v/>
      </c>
      <c r="F1277" s="25" t="str">
        <f>IFERROR(VLOOKUP($B1277,テーブル12[],3,FALSE),"")</f>
        <v/>
      </c>
      <c r="G1277" s="31" t="str">
        <f>IFERROR(VLOOKUP($B1277,テーブル12[],4,FALSE),"")</f>
        <v/>
      </c>
      <c r="H1277" s="25" t="str">
        <f t="shared" si="25"/>
        <v/>
      </c>
    </row>
    <row r="1278" spans="4:8">
      <c r="D1278" s="27" t="str">
        <f>IFERROR(VLOOKUP(A1278,テーブル11[],2,FALSE),"")</f>
        <v/>
      </c>
      <c r="E1278" s="25" t="str">
        <f>IFERROR(VLOOKUP($B1278,テーブル12[],2,FALSE),"")</f>
        <v/>
      </c>
      <c r="F1278" s="25" t="str">
        <f>IFERROR(VLOOKUP($B1278,テーブル12[],3,FALSE),"")</f>
        <v/>
      </c>
      <c r="G1278" s="31" t="str">
        <f>IFERROR(VLOOKUP($B1278,テーブル12[],4,FALSE),"")</f>
        <v/>
      </c>
      <c r="H1278" s="25" t="str">
        <f t="shared" si="25"/>
        <v/>
      </c>
    </row>
    <row r="1279" spans="4:8">
      <c r="D1279" s="27" t="str">
        <f>IFERROR(VLOOKUP(A1279,テーブル11[],2,FALSE),"")</f>
        <v/>
      </c>
      <c r="E1279" s="25" t="str">
        <f>IFERROR(VLOOKUP($B1279,テーブル12[],2,FALSE),"")</f>
        <v/>
      </c>
      <c r="F1279" s="25" t="str">
        <f>IFERROR(VLOOKUP($B1279,テーブル12[],3,FALSE),"")</f>
        <v/>
      </c>
      <c r="G1279" s="31" t="str">
        <f>IFERROR(VLOOKUP($B1279,テーブル12[],4,FALSE),"")</f>
        <v/>
      </c>
      <c r="H1279" s="25" t="str">
        <f t="shared" si="25"/>
        <v/>
      </c>
    </row>
    <row r="1280" spans="4:8">
      <c r="D1280" s="27" t="str">
        <f>IFERROR(VLOOKUP(A1280,テーブル11[],2,FALSE),"")</f>
        <v/>
      </c>
      <c r="E1280" s="25" t="str">
        <f>IFERROR(VLOOKUP($B1280,テーブル12[],2,FALSE),"")</f>
        <v/>
      </c>
      <c r="F1280" s="25" t="str">
        <f>IFERROR(VLOOKUP($B1280,テーブル12[],3,FALSE),"")</f>
        <v/>
      </c>
      <c r="G1280" s="31" t="str">
        <f>IFERROR(VLOOKUP($B1280,テーブル12[],4,FALSE),"")</f>
        <v/>
      </c>
      <c r="H1280" s="25" t="str">
        <f t="shared" si="25"/>
        <v/>
      </c>
    </row>
    <row r="1281" spans="4:8">
      <c r="D1281" s="27" t="str">
        <f>IFERROR(VLOOKUP(A1281,テーブル11[],2,FALSE),"")</f>
        <v/>
      </c>
      <c r="E1281" s="25" t="str">
        <f>IFERROR(VLOOKUP($B1281,テーブル12[],2,FALSE),"")</f>
        <v/>
      </c>
      <c r="F1281" s="25" t="str">
        <f>IFERROR(VLOOKUP($B1281,テーブル12[],3,FALSE),"")</f>
        <v/>
      </c>
      <c r="G1281" s="31" t="str">
        <f>IFERROR(VLOOKUP($B1281,テーブル12[],4,FALSE),"")</f>
        <v/>
      </c>
      <c r="H1281" s="25" t="str">
        <f t="shared" si="25"/>
        <v/>
      </c>
    </row>
    <row r="1282" spans="4:8">
      <c r="D1282" s="27" t="str">
        <f>IFERROR(VLOOKUP(A1282,テーブル11[],2,FALSE),"")</f>
        <v/>
      </c>
      <c r="E1282" s="25" t="str">
        <f>IFERROR(VLOOKUP($B1282,テーブル12[],2,FALSE),"")</f>
        <v/>
      </c>
      <c r="F1282" s="25" t="str">
        <f>IFERROR(VLOOKUP($B1282,テーブル12[],3,FALSE),"")</f>
        <v/>
      </c>
      <c r="G1282" s="31" t="str">
        <f>IFERROR(VLOOKUP($B1282,テーブル12[],4,FALSE),"")</f>
        <v/>
      </c>
      <c r="H1282" s="25" t="str">
        <f t="shared" ref="H1282:H1345" si="26">IF(C1282=0,"",C1282)</f>
        <v/>
      </c>
    </row>
    <row r="1283" spans="4:8">
      <c r="D1283" s="27" t="str">
        <f>IFERROR(VLOOKUP(A1283,テーブル11[],2,FALSE),"")</f>
        <v/>
      </c>
      <c r="E1283" s="25" t="str">
        <f>IFERROR(VLOOKUP($B1283,テーブル12[],2,FALSE),"")</f>
        <v/>
      </c>
      <c r="F1283" s="25" t="str">
        <f>IFERROR(VLOOKUP($B1283,テーブル12[],3,FALSE),"")</f>
        <v/>
      </c>
      <c r="G1283" s="31" t="str">
        <f>IFERROR(VLOOKUP($B1283,テーブル12[],4,FALSE),"")</f>
        <v/>
      </c>
      <c r="H1283" s="25" t="str">
        <f t="shared" si="26"/>
        <v/>
      </c>
    </row>
    <row r="1284" spans="4:8">
      <c r="D1284" s="27" t="str">
        <f>IFERROR(VLOOKUP(A1284,テーブル11[],2,FALSE),"")</f>
        <v/>
      </c>
      <c r="E1284" s="25" t="str">
        <f>IFERROR(VLOOKUP($B1284,テーブル12[],2,FALSE),"")</f>
        <v/>
      </c>
      <c r="F1284" s="25" t="str">
        <f>IFERROR(VLOOKUP($B1284,テーブル12[],3,FALSE),"")</f>
        <v/>
      </c>
      <c r="G1284" s="31" t="str">
        <f>IFERROR(VLOOKUP($B1284,テーブル12[],4,FALSE),"")</f>
        <v/>
      </c>
      <c r="H1284" s="25" t="str">
        <f t="shared" si="26"/>
        <v/>
      </c>
    </row>
    <row r="1285" spans="4:8">
      <c r="D1285" s="27" t="str">
        <f>IFERROR(VLOOKUP(A1285,テーブル11[],2,FALSE),"")</f>
        <v/>
      </c>
      <c r="E1285" s="25" t="str">
        <f>IFERROR(VLOOKUP($B1285,テーブル12[],2,FALSE),"")</f>
        <v/>
      </c>
      <c r="F1285" s="25" t="str">
        <f>IFERROR(VLOOKUP($B1285,テーブル12[],3,FALSE),"")</f>
        <v/>
      </c>
      <c r="G1285" s="31" t="str">
        <f>IFERROR(VLOOKUP($B1285,テーブル12[],4,FALSE),"")</f>
        <v/>
      </c>
      <c r="H1285" s="25" t="str">
        <f t="shared" si="26"/>
        <v/>
      </c>
    </row>
    <row r="1286" spans="4:8">
      <c r="D1286" s="27" t="str">
        <f>IFERROR(VLOOKUP(A1286,テーブル11[],2,FALSE),"")</f>
        <v/>
      </c>
      <c r="E1286" s="25" t="str">
        <f>IFERROR(VLOOKUP($B1286,テーブル12[],2,FALSE),"")</f>
        <v/>
      </c>
      <c r="F1286" s="25" t="str">
        <f>IFERROR(VLOOKUP($B1286,テーブル12[],3,FALSE),"")</f>
        <v/>
      </c>
      <c r="G1286" s="31" t="str">
        <f>IFERROR(VLOOKUP($B1286,テーブル12[],4,FALSE),"")</f>
        <v/>
      </c>
      <c r="H1286" s="25" t="str">
        <f t="shared" si="26"/>
        <v/>
      </c>
    </row>
    <row r="1287" spans="4:8">
      <c r="D1287" s="27" t="str">
        <f>IFERROR(VLOOKUP(A1287,テーブル11[],2,FALSE),"")</f>
        <v/>
      </c>
      <c r="E1287" s="25" t="str">
        <f>IFERROR(VLOOKUP($B1287,テーブル12[],2,FALSE),"")</f>
        <v/>
      </c>
      <c r="F1287" s="25" t="str">
        <f>IFERROR(VLOOKUP($B1287,テーブル12[],3,FALSE),"")</f>
        <v/>
      </c>
      <c r="G1287" s="31" t="str">
        <f>IFERROR(VLOOKUP($B1287,テーブル12[],4,FALSE),"")</f>
        <v/>
      </c>
      <c r="H1287" s="25" t="str">
        <f t="shared" si="26"/>
        <v/>
      </c>
    </row>
    <row r="1288" spans="4:8">
      <c r="D1288" s="27" t="str">
        <f>IFERROR(VLOOKUP(A1288,テーブル11[],2,FALSE),"")</f>
        <v/>
      </c>
      <c r="E1288" s="25" t="str">
        <f>IFERROR(VLOOKUP($B1288,テーブル12[],2,FALSE),"")</f>
        <v/>
      </c>
      <c r="F1288" s="25" t="str">
        <f>IFERROR(VLOOKUP($B1288,テーブル12[],3,FALSE),"")</f>
        <v/>
      </c>
      <c r="G1288" s="31" t="str">
        <f>IFERROR(VLOOKUP($B1288,テーブル12[],4,FALSE),"")</f>
        <v/>
      </c>
      <c r="H1288" s="25" t="str">
        <f t="shared" si="26"/>
        <v/>
      </c>
    </row>
    <row r="1289" spans="4:8">
      <c r="D1289" s="27" t="str">
        <f>IFERROR(VLOOKUP(A1289,テーブル11[],2,FALSE),"")</f>
        <v/>
      </c>
      <c r="E1289" s="25" t="str">
        <f>IFERROR(VLOOKUP($B1289,テーブル12[],2,FALSE),"")</f>
        <v/>
      </c>
      <c r="F1289" s="25" t="str">
        <f>IFERROR(VLOOKUP($B1289,テーブル12[],3,FALSE),"")</f>
        <v/>
      </c>
      <c r="G1289" s="31" t="str">
        <f>IFERROR(VLOOKUP($B1289,テーブル12[],4,FALSE),"")</f>
        <v/>
      </c>
      <c r="H1289" s="25" t="str">
        <f t="shared" si="26"/>
        <v/>
      </c>
    </row>
    <row r="1290" spans="4:8">
      <c r="D1290" s="27" t="str">
        <f>IFERROR(VLOOKUP(A1290,テーブル11[],2,FALSE),"")</f>
        <v/>
      </c>
      <c r="E1290" s="25" t="str">
        <f>IFERROR(VLOOKUP($B1290,テーブル12[],2,FALSE),"")</f>
        <v/>
      </c>
      <c r="F1290" s="25" t="str">
        <f>IFERROR(VLOOKUP($B1290,テーブル12[],3,FALSE),"")</f>
        <v/>
      </c>
      <c r="G1290" s="31" t="str">
        <f>IFERROR(VLOOKUP($B1290,テーブル12[],4,FALSE),"")</f>
        <v/>
      </c>
      <c r="H1290" s="25" t="str">
        <f t="shared" si="26"/>
        <v/>
      </c>
    </row>
    <row r="1291" spans="4:8">
      <c r="D1291" s="27" t="str">
        <f>IFERROR(VLOOKUP(A1291,テーブル11[],2,FALSE),"")</f>
        <v/>
      </c>
      <c r="E1291" s="25" t="str">
        <f>IFERROR(VLOOKUP($B1291,テーブル12[],2,FALSE),"")</f>
        <v/>
      </c>
      <c r="F1291" s="25" t="str">
        <f>IFERROR(VLOOKUP($B1291,テーブル12[],3,FALSE),"")</f>
        <v/>
      </c>
      <c r="G1291" s="31" t="str">
        <f>IFERROR(VLOOKUP($B1291,テーブル12[],4,FALSE),"")</f>
        <v/>
      </c>
      <c r="H1291" s="25" t="str">
        <f t="shared" si="26"/>
        <v/>
      </c>
    </row>
    <row r="1292" spans="4:8">
      <c r="D1292" s="27" t="str">
        <f>IFERROR(VLOOKUP(A1292,テーブル11[],2,FALSE),"")</f>
        <v/>
      </c>
      <c r="E1292" s="25" t="str">
        <f>IFERROR(VLOOKUP($B1292,テーブル12[],2,FALSE),"")</f>
        <v/>
      </c>
      <c r="F1292" s="25" t="str">
        <f>IFERROR(VLOOKUP($B1292,テーブル12[],3,FALSE),"")</f>
        <v/>
      </c>
      <c r="G1292" s="31" t="str">
        <f>IFERROR(VLOOKUP($B1292,テーブル12[],4,FALSE),"")</f>
        <v/>
      </c>
      <c r="H1292" s="25" t="str">
        <f t="shared" si="26"/>
        <v/>
      </c>
    </row>
    <row r="1293" spans="4:8">
      <c r="D1293" s="27" t="str">
        <f>IFERROR(VLOOKUP(A1293,テーブル11[],2,FALSE),"")</f>
        <v/>
      </c>
      <c r="E1293" s="25" t="str">
        <f>IFERROR(VLOOKUP($B1293,テーブル12[],2,FALSE),"")</f>
        <v/>
      </c>
      <c r="F1293" s="25" t="str">
        <f>IFERROR(VLOOKUP($B1293,テーブル12[],3,FALSE),"")</f>
        <v/>
      </c>
      <c r="G1293" s="31" t="str">
        <f>IFERROR(VLOOKUP($B1293,テーブル12[],4,FALSE),"")</f>
        <v/>
      </c>
      <c r="H1293" s="25" t="str">
        <f t="shared" si="26"/>
        <v/>
      </c>
    </row>
    <row r="1294" spans="4:8">
      <c r="D1294" s="27" t="str">
        <f>IFERROR(VLOOKUP(A1294,テーブル11[],2,FALSE),"")</f>
        <v/>
      </c>
      <c r="E1294" s="25" t="str">
        <f>IFERROR(VLOOKUP($B1294,テーブル12[],2,FALSE),"")</f>
        <v/>
      </c>
      <c r="F1294" s="25" t="str">
        <f>IFERROR(VLOOKUP($B1294,テーブル12[],3,FALSE),"")</f>
        <v/>
      </c>
      <c r="G1294" s="31" t="str">
        <f>IFERROR(VLOOKUP($B1294,テーブル12[],4,FALSE),"")</f>
        <v/>
      </c>
      <c r="H1294" s="25" t="str">
        <f t="shared" si="26"/>
        <v/>
      </c>
    </row>
    <row r="1295" spans="4:8">
      <c r="D1295" s="27" t="str">
        <f>IFERROR(VLOOKUP(A1295,テーブル11[],2,FALSE),"")</f>
        <v/>
      </c>
      <c r="E1295" s="25" t="str">
        <f>IFERROR(VLOOKUP($B1295,テーブル12[],2,FALSE),"")</f>
        <v/>
      </c>
      <c r="F1295" s="25" t="str">
        <f>IFERROR(VLOOKUP($B1295,テーブル12[],3,FALSE),"")</f>
        <v/>
      </c>
      <c r="G1295" s="31" t="str">
        <f>IFERROR(VLOOKUP($B1295,テーブル12[],4,FALSE),"")</f>
        <v/>
      </c>
      <c r="H1295" s="25" t="str">
        <f t="shared" si="26"/>
        <v/>
      </c>
    </row>
    <row r="1296" spans="4:8">
      <c r="D1296" s="27" t="str">
        <f>IFERROR(VLOOKUP(A1296,テーブル11[],2,FALSE),"")</f>
        <v/>
      </c>
      <c r="E1296" s="25" t="str">
        <f>IFERROR(VLOOKUP($B1296,テーブル12[],2,FALSE),"")</f>
        <v/>
      </c>
      <c r="F1296" s="25" t="str">
        <f>IFERROR(VLOOKUP($B1296,テーブル12[],3,FALSE),"")</f>
        <v/>
      </c>
      <c r="G1296" s="31" t="str">
        <f>IFERROR(VLOOKUP($B1296,テーブル12[],4,FALSE),"")</f>
        <v/>
      </c>
      <c r="H1296" s="25" t="str">
        <f t="shared" si="26"/>
        <v/>
      </c>
    </row>
    <row r="1297" spans="4:8">
      <c r="D1297" s="27" t="str">
        <f>IFERROR(VLOOKUP(A1297,テーブル11[],2,FALSE),"")</f>
        <v/>
      </c>
      <c r="E1297" s="25" t="str">
        <f>IFERROR(VLOOKUP($B1297,テーブル12[],2,FALSE),"")</f>
        <v/>
      </c>
      <c r="F1297" s="25" t="str">
        <f>IFERROR(VLOOKUP($B1297,テーブル12[],3,FALSE),"")</f>
        <v/>
      </c>
      <c r="G1297" s="31" t="str">
        <f>IFERROR(VLOOKUP($B1297,テーブル12[],4,FALSE),"")</f>
        <v/>
      </c>
      <c r="H1297" s="25" t="str">
        <f t="shared" si="26"/>
        <v/>
      </c>
    </row>
    <row r="1298" spans="4:8">
      <c r="D1298" s="27" t="str">
        <f>IFERROR(VLOOKUP(A1298,テーブル11[],2,FALSE),"")</f>
        <v/>
      </c>
      <c r="E1298" s="25" t="str">
        <f>IFERROR(VLOOKUP($B1298,テーブル12[],2,FALSE),"")</f>
        <v/>
      </c>
      <c r="F1298" s="25" t="str">
        <f>IFERROR(VLOOKUP($B1298,テーブル12[],3,FALSE),"")</f>
        <v/>
      </c>
      <c r="G1298" s="31" t="str">
        <f>IFERROR(VLOOKUP($B1298,テーブル12[],4,FALSE),"")</f>
        <v/>
      </c>
      <c r="H1298" s="25" t="str">
        <f t="shared" si="26"/>
        <v/>
      </c>
    </row>
    <row r="1299" spans="4:8">
      <c r="D1299" s="27" t="str">
        <f>IFERROR(VLOOKUP(A1299,テーブル11[],2,FALSE),"")</f>
        <v/>
      </c>
      <c r="E1299" s="25" t="str">
        <f>IFERROR(VLOOKUP($B1299,テーブル12[],2,FALSE),"")</f>
        <v/>
      </c>
      <c r="F1299" s="25" t="str">
        <f>IFERROR(VLOOKUP($B1299,テーブル12[],3,FALSE),"")</f>
        <v/>
      </c>
      <c r="G1299" s="31" t="str">
        <f>IFERROR(VLOOKUP($B1299,テーブル12[],4,FALSE),"")</f>
        <v/>
      </c>
      <c r="H1299" s="25" t="str">
        <f t="shared" si="26"/>
        <v/>
      </c>
    </row>
    <row r="1300" spans="4:8">
      <c r="D1300" s="27" t="str">
        <f>IFERROR(VLOOKUP(A1300,テーブル11[],2,FALSE),"")</f>
        <v/>
      </c>
      <c r="E1300" s="25" t="str">
        <f>IFERROR(VLOOKUP($B1300,テーブル12[],2,FALSE),"")</f>
        <v/>
      </c>
      <c r="F1300" s="25" t="str">
        <f>IFERROR(VLOOKUP($B1300,テーブル12[],3,FALSE),"")</f>
        <v/>
      </c>
      <c r="G1300" s="31" t="str">
        <f>IFERROR(VLOOKUP($B1300,テーブル12[],4,FALSE),"")</f>
        <v/>
      </c>
      <c r="H1300" s="25" t="str">
        <f t="shared" si="26"/>
        <v/>
      </c>
    </row>
    <row r="1301" spans="4:8">
      <c r="D1301" s="27" t="str">
        <f>IFERROR(VLOOKUP(A1301,テーブル11[],2,FALSE),"")</f>
        <v/>
      </c>
      <c r="E1301" s="25" t="str">
        <f>IFERROR(VLOOKUP($B1301,テーブル12[],2,FALSE),"")</f>
        <v/>
      </c>
      <c r="F1301" s="25" t="str">
        <f>IFERROR(VLOOKUP($B1301,テーブル12[],3,FALSE),"")</f>
        <v/>
      </c>
      <c r="G1301" s="31" t="str">
        <f>IFERROR(VLOOKUP($B1301,テーブル12[],4,FALSE),"")</f>
        <v/>
      </c>
      <c r="H1301" s="25" t="str">
        <f t="shared" si="26"/>
        <v/>
      </c>
    </row>
    <row r="1302" spans="4:8">
      <c r="D1302" s="27" t="str">
        <f>IFERROR(VLOOKUP(A1302,テーブル11[],2,FALSE),"")</f>
        <v/>
      </c>
      <c r="E1302" s="25" t="str">
        <f>IFERROR(VLOOKUP($B1302,テーブル12[],2,FALSE),"")</f>
        <v/>
      </c>
      <c r="F1302" s="25" t="str">
        <f>IFERROR(VLOOKUP($B1302,テーブル12[],3,FALSE),"")</f>
        <v/>
      </c>
      <c r="G1302" s="31" t="str">
        <f>IFERROR(VLOOKUP($B1302,テーブル12[],4,FALSE),"")</f>
        <v/>
      </c>
      <c r="H1302" s="25" t="str">
        <f t="shared" si="26"/>
        <v/>
      </c>
    </row>
    <row r="1303" spans="4:8">
      <c r="D1303" s="27" t="str">
        <f>IFERROR(VLOOKUP(A1303,テーブル11[],2,FALSE),"")</f>
        <v/>
      </c>
      <c r="E1303" s="25" t="str">
        <f>IFERROR(VLOOKUP($B1303,テーブル12[],2,FALSE),"")</f>
        <v/>
      </c>
      <c r="F1303" s="25" t="str">
        <f>IFERROR(VLOOKUP($B1303,テーブル12[],3,FALSE),"")</f>
        <v/>
      </c>
      <c r="G1303" s="31" t="str">
        <f>IFERROR(VLOOKUP($B1303,テーブル12[],4,FALSE),"")</f>
        <v/>
      </c>
      <c r="H1303" s="25" t="str">
        <f t="shared" si="26"/>
        <v/>
      </c>
    </row>
    <row r="1304" spans="4:8">
      <c r="D1304" s="27" t="str">
        <f>IFERROR(VLOOKUP(A1304,テーブル11[],2,FALSE),"")</f>
        <v/>
      </c>
      <c r="E1304" s="25" t="str">
        <f>IFERROR(VLOOKUP($B1304,テーブル12[],2,FALSE),"")</f>
        <v/>
      </c>
      <c r="F1304" s="25" t="str">
        <f>IFERROR(VLOOKUP($B1304,テーブル12[],3,FALSE),"")</f>
        <v/>
      </c>
      <c r="G1304" s="31" t="str">
        <f>IFERROR(VLOOKUP($B1304,テーブル12[],4,FALSE),"")</f>
        <v/>
      </c>
      <c r="H1304" s="25" t="str">
        <f t="shared" si="26"/>
        <v/>
      </c>
    </row>
    <row r="1305" spans="4:8">
      <c r="D1305" s="27" t="str">
        <f>IFERROR(VLOOKUP(A1305,テーブル11[],2,FALSE),"")</f>
        <v/>
      </c>
      <c r="E1305" s="25" t="str">
        <f>IFERROR(VLOOKUP($B1305,テーブル12[],2,FALSE),"")</f>
        <v/>
      </c>
      <c r="F1305" s="25" t="str">
        <f>IFERROR(VLOOKUP($B1305,テーブル12[],3,FALSE),"")</f>
        <v/>
      </c>
      <c r="G1305" s="31" t="str">
        <f>IFERROR(VLOOKUP($B1305,テーブル12[],4,FALSE),"")</f>
        <v/>
      </c>
      <c r="H1305" s="25" t="str">
        <f t="shared" si="26"/>
        <v/>
      </c>
    </row>
    <row r="1306" spans="4:8">
      <c r="D1306" s="27" t="str">
        <f>IFERROR(VLOOKUP(A1306,テーブル11[],2,FALSE),"")</f>
        <v/>
      </c>
      <c r="E1306" s="25" t="str">
        <f>IFERROR(VLOOKUP($B1306,テーブル12[],2,FALSE),"")</f>
        <v/>
      </c>
      <c r="F1306" s="25" t="str">
        <f>IFERROR(VLOOKUP($B1306,テーブル12[],3,FALSE),"")</f>
        <v/>
      </c>
      <c r="G1306" s="31" t="str">
        <f>IFERROR(VLOOKUP($B1306,テーブル12[],4,FALSE),"")</f>
        <v/>
      </c>
      <c r="H1306" s="25" t="str">
        <f t="shared" si="26"/>
        <v/>
      </c>
    </row>
    <row r="1307" spans="4:8">
      <c r="D1307" s="27" t="str">
        <f>IFERROR(VLOOKUP(A1307,テーブル11[],2,FALSE),"")</f>
        <v/>
      </c>
      <c r="E1307" s="25" t="str">
        <f>IFERROR(VLOOKUP($B1307,テーブル12[],2,FALSE),"")</f>
        <v/>
      </c>
      <c r="F1307" s="25" t="str">
        <f>IFERROR(VLOOKUP($B1307,テーブル12[],3,FALSE),"")</f>
        <v/>
      </c>
      <c r="G1307" s="31" t="str">
        <f>IFERROR(VLOOKUP($B1307,テーブル12[],4,FALSE),"")</f>
        <v/>
      </c>
      <c r="H1307" s="25" t="str">
        <f t="shared" si="26"/>
        <v/>
      </c>
    </row>
    <row r="1308" spans="4:8">
      <c r="D1308" s="27" t="str">
        <f>IFERROR(VLOOKUP(A1308,テーブル11[],2,FALSE),"")</f>
        <v/>
      </c>
      <c r="E1308" s="25" t="str">
        <f>IFERROR(VLOOKUP($B1308,テーブル12[],2,FALSE),"")</f>
        <v/>
      </c>
      <c r="F1308" s="25" t="str">
        <f>IFERROR(VLOOKUP($B1308,テーブル12[],3,FALSE),"")</f>
        <v/>
      </c>
      <c r="G1308" s="31" t="str">
        <f>IFERROR(VLOOKUP($B1308,テーブル12[],4,FALSE),"")</f>
        <v/>
      </c>
      <c r="H1308" s="25" t="str">
        <f t="shared" si="26"/>
        <v/>
      </c>
    </row>
    <row r="1309" spans="4:8">
      <c r="D1309" s="27" t="str">
        <f>IFERROR(VLOOKUP(A1309,テーブル11[],2,FALSE),"")</f>
        <v/>
      </c>
      <c r="E1309" s="25" t="str">
        <f>IFERROR(VLOOKUP($B1309,テーブル12[],2,FALSE),"")</f>
        <v/>
      </c>
      <c r="F1309" s="25" t="str">
        <f>IFERROR(VLOOKUP($B1309,テーブル12[],3,FALSE),"")</f>
        <v/>
      </c>
      <c r="G1309" s="31" t="str">
        <f>IFERROR(VLOOKUP($B1309,テーブル12[],4,FALSE),"")</f>
        <v/>
      </c>
      <c r="H1309" s="25" t="str">
        <f t="shared" si="26"/>
        <v/>
      </c>
    </row>
    <row r="1310" spans="4:8">
      <c r="D1310" s="27" t="str">
        <f>IFERROR(VLOOKUP(A1310,テーブル11[],2,FALSE),"")</f>
        <v/>
      </c>
      <c r="E1310" s="25" t="str">
        <f>IFERROR(VLOOKUP($B1310,テーブル12[],2,FALSE),"")</f>
        <v/>
      </c>
      <c r="F1310" s="25" t="str">
        <f>IFERROR(VLOOKUP($B1310,テーブル12[],3,FALSE),"")</f>
        <v/>
      </c>
      <c r="G1310" s="31" t="str">
        <f>IFERROR(VLOOKUP($B1310,テーブル12[],4,FALSE),"")</f>
        <v/>
      </c>
      <c r="H1310" s="25" t="str">
        <f t="shared" si="26"/>
        <v/>
      </c>
    </row>
    <row r="1311" spans="4:8">
      <c r="D1311" s="27" t="str">
        <f>IFERROR(VLOOKUP(A1311,テーブル11[],2,FALSE),"")</f>
        <v/>
      </c>
      <c r="E1311" s="25" t="str">
        <f>IFERROR(VLOOKUP($B1311,テーブル12[],2,FALSE),"")</f>
        <v/>
      </c>
      <c r="F1311" s="25" t="str">
        <f>IFERROR(VLOOKUP($B1311,テーブル12[],3,FALSE),"")</f>
        <v/>
      </c>
      <c r="G1311" s="31" t="str">
        <f>IFERROR(VLOOKUP($B1311,テーブル12[],4,FALSE),"")</f>
        <v/>
      </c>
      <c r="H1311" s="25" t="str">
        <f t="shared" si="26"/>
        <v/>
      </c>
    </row>
    <row r="1312" spans="4:8">
      <c r="D1312" s="27" t="str">
        <f>IFERROR(VLOOKUP(A1312,テーブル11[],2,FALSE),"")</f>
        <v/>
      </c>
      <c r="E1312" s="25" t="str">
        <f>IFERROR(VLOOKUP($B1312,テーブル12[],2,FALSE),"")</f>
        <v/>
      </c>
      <c r="F1312" s="25" t="str">
        <f>IFERROR(VLOOKUP($B1312,テーブル12[],3,FALSE),"")</f>
        <v/>
      </c>
      <c r="G1312" s="31" t="str">
        <f>IFERROR(VLOOKUP($B1312,テーブル12[],4,FALSE),"")</f>
        <v/>
      </c>
      <c r="H1312" s="25" t="str">
        <f t="shared" si="26"/>
        <v/>
      </c>
    </row>
    <row r="1313" spans="4:8">
      <c r="D1313" s="27" t="str">
        <f>IFERROR(VLOOKUP(A1313,テーブル11[],2,FALSE),"")</f>
        <v/>
      </c>
      <c r="E1313" s="25" t="str">
        <f>IFERROR(VLOOKUP($B1313,テーブル12[],2,FALSE),"")</f>
        <v/>
      </c>
      <c r="F1313" s="25" t="str">
        <f>IFERROR(VLOOKUP($B1313,テーブル12[],3,FALSE),"")</f>
        <v/>
      </c>
      <c r="G1313" s="31" t="str">
        <f>IFERROR(VLOOKUP($B1313,テーブル12[],4,FALSE),"")</f>
        <v/>
      </c>
      <c r="H1313" s="25" t="str">
        <f t="shared" si="26"/>
        <v/>
      </c>
    </row>
    <row r="1314" spans="4:8">
      <c r="D1314" s="27" t="str">
        <f>IFERROR(VLOOKUP(A1314,テーブル11[],2,FALSE),"")</f>
        <v/>
      </c>
      <c r="E1314" s="25" t="str">
        <f>IFERROR(VLOOKUP($B1314,テーブル12[],2,FALSE),"")</f>
        <v/>
      </c>
      <c r="F1314" s="25" t="str">
        <f>IFERROR(VLOOKUP($B1314,テーブル12[],3,FALSE),"")</f>
        <v/>
      </c>
      <c r="G1314" s="31" t="str">
        <f>IFERROR(VLOOKUP($B1314,テーブル12[],4,FALSE),"")</f>
        <v/>
      </c>
      <c r="H1314" s="25" t="str">
        <f t="shared" si="26"/>
        <v/>
      </c>
    </row>
    <row r="1315" spans="4:8">
      <c r="D1315" s="27" t="str">
        <f>IFERROR(VLOOKUP(A1315,テーブル11[],2,FALSE),"")</f>
        <v/>
      </c>
      <c r="E1315" s="25" t="str">
        <f>IFERROR(VLOOKUP($B1315,テーブル12[],2,FALSE),"")</f>
        <v/>
      </c>
      <c r="F1315" s="25" t="str">
        <f>IFERROR(VLOOKUP($B1315,テーブル12[],3,FALSE),"")</f>
        <v/>
      </c>
      <c r="G1315" s="31" t="str">
        <f>IFERROR(VLOOKUP($B1315,テーブル12[],4,FALSE),"")</f>
        <v/>
      </c>
      <c r="H1315" s="25" t="str">
        <f t="shared" si="26"/>
        <v/>
      </c>
    </row>
    <row r="1316" spans="4:8">
      <c r="D1316" s="27" t="str">
        <f>IFERROR(VLOOKUP(A1316,テーブル11[],2,FALSE),"")</f>
        <v/>
      </c>
      <c r="E1316" s="25" t="str">
        <f>IFERROR(VLOOKUP($B1316,テーブル12[],2,FALSE),"")</f>
        <v/>
      </c>
      <c r="F1316" s="25" t="str">
        <f>IFERROR(VLOOKUP($B1316,テーブル12[],3,FALSE),"")</f>
        <v/>
      </c>
      <c r="G1316" s="31" t="str">
        <f>IFERROR(VLOOKUP($B1316,テーブル12[],4,FALSE),"")</f>
        <v/>
      </c>
      <c r="H1316" s="25" t="str">
        <f t="shared" si="26"/>
        <v/>
      </c>
    </row>
    <row r="1317" spans="4:8">
      <c r="D1317" s="27" t="str">
        <f>IFERROR(VLOOKUP(A1317,テーブル11[],2,FALSE),"")</f>
        <v/>
      </c>
      <c r="E1317" s="25" t="str">
        <f>IFERROR(VLOOKUP($B1317,テーブル12[],2,FALSE),"")</f>
        <v/>
      </c>
      <c r="F1317" s="25" t="str">
        <f>IFERROR(VLOOKUP($B1317,テーブル12[],3,FALSE),"")</f>
        <v/>
      </c>
      <c r="G1317" s="31" t="str">
        <f>IFERROR(VLOOKUP($B1317,テーブル12[],4,FALSE),"")</f>
        <v/>
      </c>
      <c r="H1317" s="25" t="str">
        <f t="shared" si="26"/>
        <v/>
      </c>
    </row>
    <row r="1318" spans="4:8">
      <c r="D1318" s="27" t="str">
        <f>IFERROR(VLOOKUP(A1318,テーブル11[],2,FALSE),"")</f>
        <v/>
      </c>
      <c r="E1318" s="25" t="str">
        <f>IFERROR(VLOOKUP($B1318,テーブル12[],2,FALSE),"")</f>
        <v/>
      </c>
      <c r="F1318" s="25" t="str">
        <f>IFERROR(VLOOKUP($B1318,テーブル12[],3,FALSE),"")</f>
        <v/>
      </c>
      <c r="G1318" s="31" t="str">
        <f>IFERROR(VLOOKUP($B1318,テーブル12[],4,FALSE),"")</f>
        <v/>
      </c>
      <c r="H1318" s="25" t="str">
        <f t="shared" si="26"/>
        <v/>
      </c>
    </row>
    <row r="1319" spans="4:8">
      <c r="D1319" s="27" t="str">
        <f>IFERROR(VLOOKUP(A1319,テーブル11[],2,FALSE),"")</f>
        <v/>
      </c>
      <c r="E1319" s="25" t="str">
        <f>IFERROR(VLOOKUP($B1319,テーブル12[],2,FALSE),"")</f>
        <v/>
      </c>
      <c r="F1319" s="25" t="str">
        <f>IFERROR(VLOOKUP($B1319,テーブル12[],3,FALSE),"")</f>
        <v/>
      </c>
      <c r="G1319" s="31" t="str">
        <f>IFERROR(VLOOKUP($B1319,テーブル12[],4,FALSE),"")</f>
        <v/>
      </c>
      <c r="H1319" s="25" t="str">
        <f t="shared" si="26"/>
        <v/>
      </c>
    </row>
    <row r="1320" spans="4:8">
      <c r="D1320" s="27" t="str">
        <f>IFERROR(VLOOKUP(A1320,テーブル11[],2,FALSE),"")</f>
        <v/>
      </c>
      <c r="E1320" s="25" t="str">
        <f>IFERROR(VLOOKUP($B1320,テーブル12[],2,FALSE),"")</f>
        <v/>
      </c>
      <c r="F1320" s="25" t="str">
        <f>IFERROR(VLOOKUP($B1320,テーブル12[],3,FALSE),"")</f>
        <v/>
      </c>
      <c r="G1320" s="31" t="str">
        <f>IFERROR(VLOOKUP($B1320,テーブル12[],4,FALSE),"")</f>
        <v/>
      </c>
      <c r="H1320" s="25" t="str">
        <f t="shared" si="26"/>
        <v/>
      </c>
    </row>
    <row r="1321" spans="4:8">
      <c r="D1321" s="27" t="str">
        <f>IFERROR(VLOOKUP(A1321,テーブル11[],2,FALSE),"")</f>
        <v/>
      </c>
      <c r="E1321" s="25" t="str">
        <f>IFERROR(VLOOKUP($B1321,テーブル12[],2,FALSE),"")</f>
        <v/>
      </c>
      <c r="F1321" s="25" t="str">
        <f>IFERROR(VLOOKUP($B1321,テーブル12[],3,FALSE),"")</f>
        <v/>
      </c>
      <c r="G1321" s="31" t="str">
        <f>IFERROR(VLOOKUP($B1321,テーブル12[],4,FALSE),"")</f>
        <v/>
      </c>
      <c r="H1321" s="25" t="str">
        <f t="shared" si="26"/>
        <v/>
      </c>
    </row>
    <row r="1322" spans="4:8">
      <c r="D1322" s="27" t="str">
        <f>IFERROR(VLOOKUP(A1322,テーブル11[],2,FALSE),"")</f>
        <v/>
      </c>
      <c r="E1322" s="25" t="str">
        <f>IFERROR(VLOOKUP($B1322,テーブル12[],2,FALSE),"")</f>
        <v/>
      </c>
      <c r="F1322" s="25" t="str">
        <f>IFERROR(VLOOKUP($B1322,テーブル12[],3,FALSE),"")</f>
        <v/>
      </c>
      <c r="G1322" s="31" t="str">
        <f>IFERROR(VLOOKUP($B1322,テーブル12[],4,FALSE),"")</f>
        <v/>
      </c>
      <c r="H1322" s="25" t="str">
        <f t="shared" si="26"/>
        <v/>
      </c>
    </row>
    <row r="1323" spans="4:8">
      <c r="D1323" s="27" t="str">
        <f>IFERROR(VLOOKUP(A1323,テーブル11[],2,FALSE),"")</f>
        <v/>
      </c>
      <c r="E1323" s="25" t="str">
        <f>IFERROR(VLOOKUP($B1323,テーブル12[],2,FALSE),"")</f>
        <v/>
      </c>
      <c r="F1323" s="25" t="str">
        <f>IFERROR(VLOOKUP($B1323,テーブル12[],3,FALSE),"")</f>
        <v/>
      </c>
      <c r="G1323" s="31" t="str">
        <f>IFERROR(VLOOKUP($B1323,テーブル12[],4,FALSE),"")</f>
        <v/>
      </c>
      <c r="H1323" s="25" t="str">
        <f t="shared" si="26"/>
        <v/>
      </c>
    </row>
    <row r="1324" spans="4:8">
      <c r="D1324" s="27" t="str">
        <f>IFERROR(VLOOKUP(A1324,テーブル11[],2,FALSE),"")</f>
        <v/>
      </c>
      <c r="E1324" s="25" t="str">
        <f>IFERROR(VLOOKUP($B1324,テーブル12[],2,FALSE),"")</f>
        <v/>
      </c>
      <c r="F1324" s="25" t="str">
        <f>IFERROR(VLOOKUP($B1324,テーブル12[],3,FALSE),"")</f>
        <v/>
      </c>
      <c r="G1324" s="31" t="str">
        <f>IFERROR(VLOOKUP($B1324,テーブル12[],4,FALSE),"")</f>
        <v/>
      </c>
      <c r="H1324" s="25" t="str">
        <f t="shared" si="26"/>
        <v/>
      </c>
    </row>
    <row r="1325" spans="4:8">
      <c r="D1325" s="27" t="str">
        <f>IFERROR(VLOOKUP(A1325,テーブル11[],2,FALSE),"")</f>
        <v/>
      </c>
      <c r="E1325" s="25" t="str">
        <f>IFERROR(VLOOKUP($B1325,テーブル12[],2,FALSE),"")</f>
        <v/>
      </c>
      <c r="F1325" s="25" t="str">
        <f>IFERROR(VLOOKUP($B1325,テーブル12[],3,FALSE),"")</f>
        <v/>
      </c>
      <c r="G1325" s="31" t="str">
        <f>IFERROR(VLOOKUP($B1325,テーブル12[],4,FALSE),"")</f>
        <v/>
      </c>
      <c r="H1325" s="25" t="str">
        <f t="shared" si="26"/>
        <v/>
      </c>
    </row>
    <row r="1326" spans="4:8">
      <c r="D1326" s="27" t="str">
        <f>IFERROR(VLOOKUP(A1326,テーブル11[],2,FALSE),"")</f>
        <v/>
      </c>
      <c r="E1326" s="25" t="str">
        <f>IFERROR(VLOOKUP($B1326,テーブル12[],2,FALSE),"")</f>
        <v/>
      </c>
      <c r="F1326" s="25" t="str">
        <f>IFERROR(VLOOKUP($B1326,テーブル12[],3,FALSE),"")</f>
        <v/>
      </c>
      <c r="G1326" s="31" t="str">
        <f>IFERROR(VLOOKUP($B1326,テーブル12[],4,FALSE),"")</f>
        <v/>
      </c>
      <c r="H1326" s="25" t="str">
        <f t="shared" si="26"/>
        <v/>
      </c>
    </row>
    <row r="1327" spans="4:8">
      <c r="D1327" s="27" t="str">
        <f>IFERROR(VLOOKUP(A1327,テーブル11[],2,FALSE),"")</f>
        <v/>
      </c>
      <c r="E1327" s="25" t="str">
        <f>IFERROR(VLOOKUP($B1327,テーブル12[],2,FALSE),"")</f>
        <v/>
      </c>
      <c r="F1327" s="25" t="str">
        <f>IFERROR(VLOOKUP($B1327,テーブル12[],3,FALSE),"")</f>
        <v/>
      </c>
      <c r="G1327" s="31" t="str">
        <f>IFERROR(VLOOKUP($B1327,テーブル12[],4,FALSE),"")</f>
        <v/>
      </c>
      <c r="H1327" s="25" t="str">
        <f t="shared" si="26"/>
        <v/>
      </c>
    </row>
    <row r="1328" spans="4:8">
      <c r="D1328" s="27" t="str">
        <f>IFERROR(VLOOKUP(A1328,テーブル11[],2,FALSE),"")</f>
        <v/>
      </c>
      <c r="E1328" s="25" t="str">
        <f>IFERROR(VLOOKUP($B1328,テーブル12[],2,FALSE),"")</f>
        <v/>
      </c>
      <c r="F1328" s="25" t="str">
        <f>IFERROR(VLOOKUP($B1328,テーブル12[],3,FALSE),"")</f>
        <v/>
      </c>
      <c r="G1328" s="31" t="str">
        <f>IFERROR(VLOOKUP($B1328,テーブル12[],4,FALSE),"")</f>
        <v/>
      </c>
      <c r="H1328" s="25" t="str">
        <f t="shared" si="26"/>
        <v/>
      </c>
    </row>
    <row r="1329" spans="4:8">
      <c r="D1329" s="27" t="str">
        <f>IFERROR(VLOOKUP(A1329,テーブル11[],2,FALSE),"")</f>
        <v/>
      </c>
      <c r="E1329" s="25" t="str">
        <f>IFERROR(VLOOKUP($B1329,テーブル12[],2,FALSE),"")</f>
        <v/>
      </c>
      <c r="F1329" s="25" t="str">
        <f>IFERROR(VLOOKUP($B1329,テーブル12[],3,FALSE),"")</f>
        <v/>
      </c>
      <c r="G1329" s="31" t="str">
        <f>IFERROR(VLOOKUP($B1329,テーブル12[],4,FALSE),"")</f>
        <v/>
      </c>
      <c r="H1329" s="25" t="str">
        <f t="shared" si="26"/>
        <v/>
      </c>
    </row>
    <row r="1330" spans="4:8">
      <c r="D1330" s="27" t="str">
        <f>IFERROR(VLOOKUP(A1330,テーブル11[],2,FALSE),"")</f>
        <v/>
      </c>
      <c r="E1330" s="25" t="str">
        <f>IFERROR(VLOOKUP($B1330,テーブル12[],2,FALSE),"")</f>
        <v/>
      </c>
      <c r="F1330" s="25" t="str">
        <f>IFERROR(VLOOKUP($B1330,テーブル12[],3,FALSE),"")</f>
        <v/>
      </c>
      <c r="G1330" s="31" t="str">
        <f>IFERROR(VLOOKUP($B1330,テーブル12[],4,FALSE),"")</f>
        <v/>
      </c>
      <c r="H1330" s="25" t="str">
        <f t="shared" si="26"/>
        <v/>
      </c>
    </row>
    <row r="1331" spans="4:8">
      <c r="D1331" s="27" t="str">
        <f>IFERROR(VLOOKUP(A1331,テーブル11[],2,FALSE),"")</f>
        <v/>
      </c>
      <c r="E1331" s="25" t="str">
        <f>IFERROR(VLOOKUP($B1331,テーブル12[],2,FALSE),"")</f>
        <v/>
      </c>
      <c r="F1331" s="25" t="str">
        <f>IFERROR(VLOOKUP($B1331,テーブル12[],3,FALSE),"")</f>
        <v/>
      </c>
      <c r="G1331" s="31" t="str">
        <f>IFERROR(VLOOKUP($B1331,テーブル12[],4,FALSE),"")</f>
        <v/>
      </c>
      <c r="H1331" s="25" t="str">
        <f t="shared" si="26"/>
        <v/>
      </c>
    </row>
    <row r="1332" spans="4:8">
      <c r="D1332" s="27" t="str">
        <f>IFERROR(VLOOKUP(A1332,テーブル11[],2,FALSE),"")</f>
        <v/>
      </c>
      <c r="E1332" s="25" t="str">
        <f>IFERROR(VLOOKUP($B1332,テーブル12[],2,FALSE),"")</f>
        <v/>
      </c>
      <c r="F1332" s="25" t="str">
        <f>IFERROR(VLOOKUP($B1332,テーブル12[],3,FALSE),"")</f>
        <v/>
      </c>
      <c r="G1332" s="31" t="str">
        <f>IFERROR(VLOOKUP($B1332,テーブル12[],4,FALSE),"")</f>
        <v/>
      </c>
      <c r="H1332" s="25" t="str">
        <f t="shared" si="26"/>
        <v/>
      </c>
    </row>
    <row r="1333" spans="4:8">
      <c r="D1333" s="27" t="str">
        <f>IFERROR(VLOOKUP(A1333,テーブル11[],2,FALSE),"")</f>
        <v/>
      </c>
      <c r="E1333" s="25" t="str">
        <f>IFERROR(VLOOKUP($B1333,テーブル12[],2,FALSE),"")</f>
        <v/>
      </c>
      <c r="F1333" s="25" t="str">
        <f>IFERROR(VLOOKUP($B1333,テーブル12[],3,FALSE),"")</f>
        <v/>
      </c>
      <c r="G1333" s="31" t="str">
        <f>IFERROR(VLOOKUP($B1333,テーブル12[],4,FALSE),"")</f>
        <v/>
      </c>
      <c r="H1333" s="25" t="str">
        <f t="shared" si="26"/>
        <v/>
      </c>
    </row>
    <row r="1334" spans="4:8">
      <c r="D1334" s="27" t="str">
        <f>IFERROR(VLOOKUP(A1334,テーブル11[],2,FALSE),"")</f>
        <v/>
      </c>
      <c r="E1334" s="25" t="str">
        <f>IFERROR(VLOOKUP($B1334,テーブル12[],2,FALSE),"")</f>
        <v/>
      </c>
      <c r="F1334" s="25" t="str">
        <f>IFERROR(VLOOKUP($B1334,テーブル12[],3,FALSE),"")</f>
        <v/>
      </c>
      <c r="G1334" s="31" t="str">
        <f>IFERROR(VLOOKUP($B1334,テーブル12[],4,FALSE),"")</f>
        <v/>
      </c>
      <c r="H1334" s="25" t="str">
        <f t="shared" si="26"/>
        <v/>
      </c>
    </row>
    <row r="1335" spans="4:8">
      <c r="D1335" s="27" t="str">
        <f>IFERROR(VLOOKUP(A1335,テーブル11[],2,FALSE),"")</f>
        <v/>
      </c>
      <c r="E1335" s="25" t="str">
        <f>IFERROR(VLOOKUP($B1335,テーブル12[],2,FALSE),"")</f>
        <v/>
      </c>
      <c r="F1335" s="25" t="str">
        <f>IFERROR(VLOOKUP($B1335,テーブル12[],3,FALSE),"")</f>
        <v/>
      </c>
      <c r="G1335" s="31" t="str">
        <f>IFERROR(VLOOKUP($B1335,テーブル12[],4,FALSE),"")</f>
        <v/>
      </c>
      <c r="H1335" s="25" t="str">
        <f t="shared" si="26"/>
        <v/>
      </c>
    </row>
    <row r="1336" spans="4:8">
      <c r="D1336" s="27" t="str">
        <f>IFERROR(VLOOKUP(A1336,テーブル11[],2,FALSE),"")</f>
        <v/>
      </c>
      <c r="E1336" s="25" t="str">
        <f>IFERROR(VLOOKUP($B1336,テーブル12[],2,FALSE),"")</f>
        <v/>
      </c>
      <c r="F1336" s="25" t="str">
        <f>IFERROR(VLOOKUP($B1336,テーブル12[],3,FALSE),"")</f>
        <v/>
      </c>
      <c r="G1336" s="31" t="str">
        <f>IFERROR(VLOOKUP($B1336,テーブル12[],4,FALSE),"")</f>
        <v/>
      </c>
      <c r="H1336" s="25" t="str">
        <f t="shared" si="26"/>
        <v/>
      </c>
    </row>
    <row r="1337" spans="4:8">
      <c r="D1337" s="27" t="str">
        <f>IFERROR(VLOOKUP(A1337,テーブル11[],2,FALSE),"")</f>
        <v/>
      </c>
      <c r="E1337" s="25" t="str">
        <f>IFERROR(VLOOKUP($B1337,テーブル12[],2,FALSE),"")</f>
        <v/>
      </c>
      <c r="F1337" s="25" t="str">
        <f>IFERROR(VLOOKUP($B1337,テーブル12[],3,FALSE),"")</f>
        <v/>
      </c>
      <c r="G1337" s="31" t="str">
        <f>IFERROR(VLOOKUP($B1337,テーブル12[],4,FALSE),"")</f>
        <v/>
      </c>
      <c r="H1337" s="25" t="str">
        <f t="shared" si="26"/>
        <v/>
      </c>
    </row>
    <row r="1338" spans="4:8">
      <c r="D1338" s="27" t="str">
        <f>IFERROR(VLOOKUP(A1338,テーブル11[],2,FALSE),"")</f>
        <v/>
      </c>
      <c r="E1338" s="25" t="str">
        <f>IFERROR(VLOOKUP($B1338,テーブル12[],2,FALSE),"")</f>
        <v/>
      </c>
      <c r="F1338" s="25" t="str">
        <f>IFERROR(VLOOKUP($B1338,テーブル12[],3,FALSE),"")</f>
        <v/>
      </c>
      <c r="G1338" s="31" t="str">
        <f>IFERROR(VLOOKUP($B1338,テーブル12[],4,FALSE),"")</f>
        <v/>
      </c>
      <c r="H1338" s="25" t="str">
        <f t="shared" si="26"/>
        <v/>
      </c>
    </row>
    <row r="1339" spans="4:8">
      <c r="D1339" s="27" t="str">
        <f>IFERROR(VLOOKUP(A1339,テーブル11[],2,FALSE),"")</f>
        <v/>
      </c>
      <c r="E1339" s="25" t="str">
        <f>IFERROR(VLOOKUP($B1339,テーブル12[],2,FALSE),"")</f>
        <v/>
      </c>
      <c r="F1339" s="25" t="str">
        <f>IFERROR(VLOOKUP($B1339,テーブル12[],3,FALSE),"")</f>
        <v/>
      </c>
      <c r="G1339" s="31" t="str">
        <f>IFERROR(VLOOKUP($B1339,テーブル12[],4,FALSE),"")</f>
        <v/>
      </c>
      <c r="H1339" s="25" t="str">
        <f t="shared" si="26"/>
        <v/>
      </c>
    </row>
    <row r="1340" spans="4:8">
      <c r="D1340" s="27" t="str">
        <f>IFERROR(VLOOKUP(A1340,テーブル11[],2,FALSE),"")</f>
        <v/>
      </c>
      <c r="E1340" s="25" t="str">
        <f>IFERROR(VLOOKUP($B1340,テーブル12[],2,FALSE),"")</f>
        <v/>
      </c>
      <c r="F1340" s="25" t="str">
        <f>IFERROR(VLOOKUP($B1340,テーブル12[],3,FALSE),"")</f>
        <v/>
      </c>
      <c r="G1340" s="31" t="str">
        <f>IFERROR(VLOOKUP($B1340,テーブル12[],4,FALSE),"")</f>
        <v/>
      </c>
      <c r="H1340" s="25" t="str">
        <f t="shared" si="26"/>
        <v/>
      </c>
    </row>
    <row r="1341" spans="4:8">
      <c r="D1341" s="27" t="str">
        <f>IFERROR(VLOOKUP(A1341,テーブル11[],2,FALSE),"")</f>
        <v/>
      </c>
      <c r="E1341" s="25" t="str">
        <f>IFERROR(VLOOKUP($B1341,テーブル12[],2,FALSE),"")</f>
        <v/>
      </c>
      <c r="F1341" s="25" t="str">
        <f>IFERROR(VLOOKUP($B1341,テーブル12[],3,FALSE),"")</f>
        <v/>
      </c>
      <c r="G1341" s="31" t="str">
        <f>IFERROR(VLOOKUP($B1341,テーブル12[],4,FALSE),"")</f>
        <v/>
      </c>
      <c r="H1341" s="25" t="str">
        <f t="shared" si="26"/>
        <v/>
      </c>
    </row>
    <row r="1342" spans="4:8">
      <c r="D1342" s="27" t="str">
        <f>IFERROR(VLOOKUP(A1342,テーブル11[],2,FALSE),"")</f>
        <v/>
      </c>
      <c r="E1342" s="25" t="str">
        <f>IFERROR(VLOOKUP($B1342,テーブル12[],2,FALSE),"")</f>
        <v/>
      </c>
      <c r="F1342" s="25" t="str">
        <f>IFERROR(VLOOKUP($B1342,テーブル12[],3,FALSE),"")</f>
        <v/>
      </c>
      <c r="G1342" s="31" t="str">
        <f>IFERROR(VLOOKUP($B1342,テーブル12[],4,FALSE),"")</f>
        <v/>
      </c>
      <c r="H1342" s="25" t="str">
        <f t="shared" si="26"/>
        <v/>
      </c>
    </row>
    <row r="1343" spans="4:8">
      <c r="D1343" s="27" t="str">
        <f>IFERROR(VLOOKUP(A1343,テーブル11[],2,FALSE),"")</f>
        <v/>
      </c>
      <c r="E1343" s="25" t="str">
        <f>IFERROR(VLOOKUP($B1343,テーブル12[],2,FALSE),"")</f>
        <v/>
      </c>
      <c r="F1343" s="25" t="str">
        <f>IFERROR(VLOOKUP($B1343,テーブル12[],3,FALSE),"")</f>
        <v/>
      </c>
      <c r="G1343" s="31" t="str">
        <f>IFERROR(VLOOKUP($B1343,テーブル12[],4,FALSE),"")</f>
        <v/>
      </c>
      <c r="H1343" s="25" t="str">
        <f t="shared" si="26"/>
        <v/>
      </c>
    </row>
    <row r="1344" spans="4:8">
      <c r="D1344" s="27" t="str">
        <f>IFERROR(VLOOKUP(A1344,テーブル11[],2,FALSE),"")</f>
        <v/>
      </c>
      <c r="E1344" s="25" t="str">
        <f>IFERROR(VLOOKUP($B1344,テーブル12[],2,FALSE),"")</f>
        <v/>
      </c>
      <c r="F1344" s="25" t="str">
        <f>IFERROR(VLOOKUP($B1344,テーブル12[],3,FALSE),"")</f>
        <v/>
      </c>
      <c r="G1344" s="31" t="str">
        <f>IFERROR(VLOOKUP($B1344,テーブル12[],4,FALSE),"")</f>
        <v/>
      </c>
      <c r="H1344" s="25" t="str">
        <f t="shared" si="26"/>
        <v/>
      </c>
    </row>
    <row r="1345" spans="4:8">
      <c r="D1345" s="27" t="str">
        <f>IFERROR(VLOOKUP(A1345,テーブル11[],2,FALSE),"")</f>
        <v/>
      </c>
      <c r="E1345" s="25" t="str">
        <f>IFERROR(VLOOKUP($B1345,テーブル12[],2,FALSE),"")</f>
        <v/>
      </c>
      <c r="F1345" s="25" t="str">
        <f>IFERROR(VLOOKUP($B1345,テーブル12[],3,FALSE),"")</f>
        <v/>
      </c>
      <c r="G1345" s="31" t="str">
        <f>IFERROR(VLOOKUP($B1345,テーブル12[],4,FALSE),"")</f>
        <v/>
      </c>
      <c r="H1345" s="25" t="str">
        <f t="shared" si="26"/>
        <v/>
      </c>
    </row>
    <row r="1346" spans="4:8">
      <c r="D1346" s="27" t="str">
        <f>IFERROR(VLOOKUP(A1346,テーブル11[],2,FALSE),"")</f>
        <v/>
      </c>
      <c r="E1346" s="25" t="str">
        <f>IFERROR(VLOOKUP($B1346,テーブル12[],2,FALSE),"")</f>
        <v/>
      </c>
      <c r="F1346" s="25" t="str">
        <f>IFERROR(VLOOKUP($B1346,テーブル12[],3,FALSE),"")</f>
        <v/>
      </c>
      <c r="G1346" s="31" t="str">
        <f>IFERROR(VLOOKUP($B1346,テーブル12[],4,FALSE),"")</f>
        <v/>
      </c>
      <c r="H1346" s="25" t="str">
        <f t="shared" ref="H1346:H1409" si="27">IF(C1346=0,"",C1346)</f>
        <v/>
      </c>
    </row>
    <row r="1347" spans="4:8">
      <c r="D1347" s="27" t="str">
        <f>IFERROR(VLOOKUP(A1347,テーブル11[],2,FALSE),"")</f>
        <v/>
      </c>
      <c r="E1347" s="25" t="str">
        <f>IFERROR(VLOOKUP($B1347,テーブル12[],2,FALSE),"")</f>
        <v/>
      </c>
      <c r="F1347" s="25" t="str">
        <f>IFERROR(VLOOKUP($B1347,テーブル12[],3,FALSE),"")</f>
        <v/>
      </c>
      <c r="G1347" s="31" t="str">
        <f>IFERROR(VLOOKUP($B1347,テーブル12[],4,FALSE),"")</f>
        <v/>
      </c>
      <c r="H1347" s="25" t="str">
        <f t="shared" si="27"/>
        <v/>
      </c>
    </row>
    <row r="1348" spans="4:8">
      <c r="D1348" s="27" t="str">
        <f>IFERROR(VLOOKUP(A1348,テーブル11[],2,FALSE),"")</f>
        <v/>
      </c>
      <c r="E1348" s="25" t="str">
        <f>IFERROR(VLOOKUP($B1348,テーブル12[],2,FALSE),"")</f>
        <v/>
      </c>
      <c r="F1348" s="25" t="str">
        <f>IFERROR(VLOOKUP($B1348,テーブル12[],3,FALSE),"")</f>
        <v/>
      </c>
      <c r="G1348" s="31" t="str">
        <f>IFERROR(VLOOKUP($B1348,テーブル12[],4,FALSE),"")</f>
        <v/>
      </c>
      <c r="H1348" s="25" t="str">
        <f t="shared" si="27"/>
        <v/>
      </c>
    </row>
    <row r="1349" spans="4:8">
      <c r="D1349" s="27" t="str">
        <f>IFERROR(VLOOKUP(A1349,テーブル11[],2,FALSE),"")</f>
        <v/>
      </c>
      <c r="E1349" s="25" t="str">
        <f>IFERROR(VLOOKUP($B1349,テーブル12[],2,FALSE),"")</f>
        <v/>
      </c>
      <c r="F1349" s="25" t="str">
        <f>IFERROR(VLOOKUP($B1349,テーブル12[],3,FALSE),"")</f>
        <v/>
      </c>
      <c r="G1349" s="31" t="str">
        <f>IFERROR(VLOOKUP($B1349,テーブル12[],4,FALSE),"")</f>
        <v/>
      </c>
      <c r="H1349" s="25" t="str">
        <f t="shared" si="27"/>
        <v/>
      </c>
    </row>
    <row r="1350" spans="4:8">
      <c r="D1350" s="27" t="str">
        <f>IFERROR(VLOOKUP(A1350,テーブル11[],2,FALSE),"")</f>
        <v/>
      </c>
      <c r="E1350" s="25" t="str">
        <f>IFERROR(VLOOKUP($B1350,テーブル12[],2,FALSE),"")</f>
        <v/>
      </c>
      <c r="F1350" s="25" t="str">
        <f>IFERROR(VLOOKUP($B1350,テーブル12[],3,FALSE),"")</f>
        <v/>
      </c>
      <c r="G1350" s="31" t="str">
        <f>IFERROR(VLOOKUP($B1350,テーブル12[],4,FALSE),"")</f>
        <v/>
      </c>
      <c r="H1350" s="25" t="str">
        <f t="shared" si="27"/>
        <v/>
      </c>
    </row>
    <row r="1351" spans="4:8">
      <c r="D1351" s="27" t="str">
        <f>IFERROR(VLOOKUP(A1351,テーブル11[],2,FALSE),"")</f>
        <v/>
      </c>
      <c r="E1351" s="25" t="str">
        <f>IFERROR(VLOOKUP($B1351,テーブル12[],2,FALSE),"")</f>
        <v/>
      </c>
      <c r="F1351" s="25" t="str">
        <f>IFERROR(VLOOKUP($B1351,テーブル12[],3,FALSE),"")</f>
        <v/>
      </c>
      <c r="G1351" s="31" t="str">
        <f>IFERROR(VLOOKUP($B1351,テーブル12[],4,FALSE),"")</f>
        <v/>
      </c>
      <c r="H1351" s="25" t="str">
        <f t="shared" si="27"/>
        <v/>
      </c>
    </row>
    <row r="1352" spans="4:8">
      <c r="D1352" s="27" t="str">
        <f>IFERROR(VLOOKUP(A1352,テーブル11[],2,FALSE),"")</f>
        <v/>
      </c>
      <c r="E1352" s="25" t="str">
        <f>IFERROR(VLOOKUP($B1352,テーブル12[],2,FALSE),"")</f>
        <v/>
      </c>
      <c r="F1352" s="25" t="str">
        <f>IFERROR(VLOOKUP($B1352,テーブル12[],3,FALSE),"")</f>
        <v/>
      </c>
      <c r="G1352" s="31" t="str">
        <f>IFERROR(VLOOKUP($B1352,テーブル12[],4,FALSE),"")</f>
        <v/>
      </c>
      <c r="H1352" s="25" t="str">
        <f t="shared" si="27"/>
        <v/>
      </c>
    </row>
    <row r="1353" spans="4:8">
      <c r="D1353" s="27" t="str">
        <f>IFERROR(VLOOKUP(A1353,テーブル11[],2,FALSE),"")</f>
        <v/>
      </c>
      <c r="E1353" s="25" t="str">
        <f>IFERROR(VLOOKUP($B1353,テーブル12[],2,FALSE),"")</f>
        <v/>
      </c>
      <c r="F1353" s="25" t="str">
        <f>IFERROR(VLOOKUP($B1353,テーブル12[],3,FALSE),"")</f>
        <v/>
      </c>
      <c r="G1353" s="31" t="str">
        <f>IFERROR(VLOOKUP($B1353,テーブル12[],4,FALSE),"")</f>
        <v/>
      </c>
      <c r="H1353" s="25" t="str">
        <f t="shared" si="27"/>
        <v/>
      </c>
    </row>
    <row r="1354" spans="4:8">
      <c r="D1354" s="27" t="str">
        <f>IFERROR(VLOOKUP(A1354,テーブル11[],2,FALSE),"")</f>
        <v/>
      </c>
      <c r="E1354" s="25" t="str">
        <f>IFERROR(VLOOKUP($B1354,テーブル12[],2,FALSE),"")</f>
        <v/>
      </c>
      <c r="F1354" s="25" t="str">
        <f>IFERROR(VLOOKUP($B1354,テーブル12[],3,FALSE),"")</f>
        <v/>
      </c>
      <c r="G1354" s="31" t="str">
        <f>IFERROR(VLOOKUP($B1354,テーブル12[],4,FALSE),"")</f>
        <v/>
      </c>
      <c r="H1354" s="25" t="str">
        <f t="shared" si="27"/>
        <v/>
      </c>
    </row>
    <row r="1355" spans="4:8">
      <c r="D1355" s="27" t="str">
        <f>IFERROR(VLOOKUP(A1355,テーブル11[],2,FALSE),"")</f>
        <v/>
      </c>
      <c r="E1355" s="25" t="str">
        <f>IFERROR(VLOOKUP($B1355,テーブル12[],2,FALSE),"")</f>
        <v/>
      </c>
      <c r="F1355" s="25" t="str">
        <f>IFERROR(VLOOKUP($B1355,テーブル12[],3,FALSE),"")</f>
        <v/>
      </c>
      <c r="G1355" s="31" t="str">
        <f>IFERROR(VLOOKUP($B1355,テーブル12[],4,FALSE),"")</f>
        <v/>
      </c>
      <c r="H1355" s="25" t="str">
        <f t="shared" si="27"/>
        <v/>
      </c>
    </row>
    <row r="1356" spans="4:8">
      <c r="D1356" s="27" t="str">
        <f>IFERROR(VLOOKUP(A1356,テーブル11[],2,FALSE),"")</f>
        <v/>
      </c>
      <c r="E1356" s="25" t="str">
        <f>IFERROR(VLOOKUP($B1356,テーブル12[],2,FALSE),"")</f>
        <v/>
      </c>
      <c r="F1356" s="25" t="str">
        <f>IFERROR(VLOOKUP($B1356,テーブル12[],3,FALSE),"")</f>
        <v/>
      </c>
      <c r="G1356" s="31" t="str">
        <f>IFERROR(VLOOKUP($B1356,テーブル12[],4,FALSE),"")</f>
        <v/>
      </c>
      <c r="H1356" s="25" t="str">
        <f t="shared" si="27"/>
        <v/>
      </c>
    </row>
    <row r="1357" spans="4:8">
      <c r="D1357" s="27" t="str">
        <f>IFERROR(VLOOKUP(A1357,テーブル11[],2,FALSE),"")</f>
        <v/>
      </c>
      <c r="E1357" s="25" t="str">
        <f>IFERROR(VLOOKUP($B1357,テーブル12[],2,FALSE),"")</f>
        <v/>
      </c>
      <c r="F1357" s="25" t="str">
        <f>IFERROR(VLOOKUP($B1357,テーブル12[],3,FALSE),"")</f>
        <v/>
      </c>
      <c r="G1357" s="31" t="str">
        <f>IFERROR(VLOOKUP($B1357,テーブル12[],4,FALSE),"")</f>
        <v/>
      </c>
      <c r="H1357" s="25" t="str">
        <f t="shared" si="27"/>
        <v/>
      </c>
    </row>
    <row r="1358" spans="4:8">
      <c r="D1358" s="27" t="str">
        <f>IFERROR(VLOOKUP(A1358,テーブル11[],2,FALSE),"")</f>
        <v/>
      </c>
      <c r="E1358" s="25" t="str">
        <f>IFERROR(VLOOKUP($B1358,テーブル12[],2,FALSE),"")</f>
        <v/>
      </c>
      <c r="F1358" s="25" t="str">
        <f>IFERROR(VLOOKUP($B1358,テーブル12[],3,FALSE),"")</f>
        <v/>
      </c>
      <c r="G1358" s="31" t="str">
        <f>IFERROR(VLOOKUP($B1358,テーブル12[],4,FALSE),"")</f>
        <v/>
      </c>
      <c r="H1358" s="25" t="str">
        <f t="shared" si="27"/>
        <v/>
      </c>
    </row>
    <row r="1359" spans="4:8">
      <c r="D1359" s="27" t="str">
        <f>IFERROR(VLOOKUP(A1359,テーブル11[],2,FALSE),"")</f>
        <v/>
      </c>
      <c r="E1359" s="25" t="str">
        <f>IFERROR(VLOOKUP($B1359,テーブル12[],2,FALSE),"")</f>
        <v/>
      </c>
      <c r="F1359" s="25" t="str">
        <f>IFERROR(VLOOKUP($B1359,テーブル12[],3,FALSE),"")</f>
        <v/>
      </c>
      <c r="G1359" s="31" t="str">
        <f>IFERROR(VLOOKUP($B1359,テーブル12[],4,FALSE),"")</f>
        <v/>
      </c>
      <c r="H1359" s="25" t="str">
        <f t="shared" si="27"/>
        <v/>
      </c>
    </row>
    <row r="1360" spans="4:8">
      <c r="D1360" s="27" t="str">
        <f>IFERROR(VLOOKUP(A1360,テーブル11[],2,FALSE),"")</f>
        <v/>
      </c>
      <c r="E1360" s="25" t="str">
        <f>IFERROR(VLOOKUP($B1360,テーブル12[],2,FALSE),"")</f>
        <v/>
      </c>
      <c r="F1360" s="25" t="str">
        <f>IFERROR(VLOOKUP($B1360,テーブル12[],3,FALSE),"")</f>
        <v/>
      </c>
      <c r="G1360" s="31" t="str">
        <f>IFERROR(VLOOKUP($B1360,テーブル12[],4,FALSE),"")</f>
        <v/>
      </c>
      <c r="H1360" s="25" t="str">
        <f t="shared" si="27"/>
        <v/>
      </c>
    </row>
    <row r="1361" spans="4:8">
      <c r="D1361" s="27" t="str">
        <f>IFERROR(VLOOKUP(A1361,テーブル11[],2,FALSE),"")</f>
        <v/>
      </c>
      <c r="E1361" s="25" t="str">
        <f>IFERROR(VLOOKUP($B1361,テーブル12[],2,FALSE),"")</f>
        <v/>
      </c>
      <c r="F1361" s="25" t="str">
        <f>IFERROR(VLOOKUP($B1361,テーブル12[],3,FALSE),"")</f>
        <v/>
      </c>
      <c r="G1361" s="31" t="str">
        <f>IFERROR(VLOOKUP($B1361,テーブル12[],4,FALSE),"")</f>
        <v/>
      </c>
      <c r="H1361" s="25" t="str">
        <f t="shared" si="27"/>
        <v/>
      </c>
    </row>
    <row r="1362" spans="4:8">
      <c r="D1362" s="27" t="str">
        <f>IFERROR(VLOOKUP(A1362,テーブル11[],2,FALSE),"")</f>
        <v/>
      </c>
      <c r="E1362" s="25" t="str">
        <f>IFERROR(VLOOKUP($B1362,テーブル12[],2,FALSE),"")</f>
        <v/>
      </c>
      <c r="F1362" s="25" t="str">
        <f>IFERROR(VLOOKUP($B1362,テーブル12[],3,FALSE),"")</f>
        <v/>
      </c>
      <c r="G1362" s="31" t="str">
        <f>IFERROR(VLOOKUP($B1362,テーブル12[],4,FALSE),"")</f>
        <v/>
      </c>
      <c r="H1362" s="25" t="str">
        <f t="shared" si="27"/>
        <v/>
      </c>
    </row>
    <row r="1363" spans="4:8">
      <c r="D1363" s="27" t="str">
        <f>IFERROR(VLOOKUP(A1363,テーブル11[],2,FALSE),"")</f>
        <v/>
      </c>
      <c r="E1363" s="25" t="str">
        <f>IFERROR(VLOOKUP($B1363,テーブル12[],2,FALSE),"")</f>
        <v/>
      </c>
      <c r="F1363" s="25" t="str">
        <f>IFERROR(VLOOKUP($B1363,テーブル12[],3,FALSE),"")</f>
        <v/>
      </c>
      <c r="G1363" s="31" t="str">
        <f>IFERROR(VLOOKUP($B1363,テーブル12[],4,FALSE),"")</f>
        <v/>
      </c>
      <c r="H1363" s="25" t="str">
        <f t="shared" si="27"/>
        <v/>
      </c>
    </row>
    <row r="1364" spans="4:8">
      <c r="D1364" s="27" t="str">
        <f>IFERROR(VLOOKUP(A1364,テーブル11[],2,FALSE),"")</f>
        <v/>
      </c>
      <c r="E1364" s="25" t="str">
        <f>IFERROR(VLOOKUP($B1364,テーブル12[],2,FALSE),"")</f>
        <v/>
      </c>
      <c r="F1364" s="25" t="str">
        <f>IFERROR(VLOOKUP($B1364,テーブル12[],3,FALSE),"")</f>
        <v/>
      </c>
      <c r="G1364" s="31" t="str">
        <f>IFERROR(VLOOKUP($B1364,テーブル12[],4,FALSE),"")</f>
        <v/>
      </c>
      <c r="H1364" s="25" t="str">
        <f t="shared" si="27"/>
        <v/>
      </c>
    </row>
    <row r="1365" spans="4:8">
      <c r="D1365" s="27" t="str">
        <f>IFERROR(VLOOKUP(A1365,テーブル11[],2,FALSE),"")</f>
        <v/>
      </c>
      <c r="E1365" s="25" t="str">
        <f>IFERROR(VLOOKUP($B1365,テーブル12[],2,FALSE),"")</f>
        <v/>
      </c>
      <c r="F1365" s="25" t="str">
        <f>IFERROR(VLOOKUP($B1365,テーブル12[],3,FALSE),"")</f>
        <v/>
      </c>
      <c r="G1365" s="31" t="str">
        <f>IFERROR(VLOOKUP($B1365,テーブル12[],4,FALSE),"")</f>
        <v/>
      </c>
      <c r="H1365" s="25" t="str">
        <f t="shared" si="27"/>
        <v/>
      </c>
    </row>
    <row r="1366" spans="4:8">
      <c r="D1366" s="27" t="str">
        <f>IFERROR(VLOOKUP(A1366,テーブル11[],2,FALSE),"")</f>
        <v/>
      </c>
      <c r="E1366" s="25" t="str">
        <f>IFERROR(VLOOKUP($B1366,テーブル12[],2,FALSE),"")</f>
        <v/>
      </c>
      <c r="F1366" s="25" t="str">
        <f>IFERROR(VLOOKUP($B1366,テーブル12[],3,FALSE),"")</f>
        <v/>
      </c>
      <c r="G1366" s="31" t="str">
        <f>IFERROR(VLOOKUP($B1366,テーブル12[],4,FALSE),"")</f>
        <v/>
      </c>
      <c r="H1366" s="25" t="str">
        <f t="shared" si="27"/>
        <v/>
      </c>
    </row>
    <row r="1367" spans="4:8">
      <c r="D1367" s="27" t="str">
        <f>IFERROR(VLOOKUP(A1367,テーブル11[],2,FALSE),"")</f>
        <v/>
      </c>
      <c r="E1367" s="25" t="str">
        <f>IFERROR(VLOOKUP($B1367,テーブル12[],2,FALSE),"")</f>
        <v/>
      </c>
      <c r="F1367" s="25" t="str">
        <f>IFERROR(VLOOKUP($B1367,テーブル12[],3,FALSE),"")</f>
        <v/>
      </c>
      <c r="G1367" s="31" t="str">
        <f>IFERROR(VLOOKUP($B1367,テーブル12[],4,FALSE),"")</f>
        <v/>
      </c>
      <c r="H1367" s="25" t="str">
        <f t="shared" si="27"/>
        <v/>
      </c>
    </row>
    <row r="1368" spans="4:8">
      <c r="D1368" s="27" t="str">
        <f>IFERROR(VLOOKUP(A1368,テーブル11[],2,FALSE),"")</f>
        <v/>
      </c>
      <c r="E1368" s="25" t="str">
        <f>IFERROR(VLOOKUP($B1368,テーブル12[],2,FALSE),"")</f>
        <v/>
      </c>
      <c r="F1368" s="25" t="str">
        <f>IFERROR(VLOOKUP($B1368,テーブル12[],3,FALSE),"")</f>
        <v/>
      </c>
      <c r="G1368" s="31" t="str">
        <f>IFERROR(VLOOKUP($B1368,テーブル12[],4,FALSE),"")</f>
        <v/>
      </c>
      <c r="H1368" s="25" t="str">
        <f t="shared" si="27"/>
        <v/>
      </c>
    </row>
    <row r="1369" spans="4:8">
      <c r="D1369" s="27" t="str">
        <f>IFERROR(VLOOKUP(A1369,テーブル11[],2,FALSE),"")</f>
        <v/>
      </c>
      <c r="E1369" s="25" t="str">
        <f>IFERROR(VLOOKUP($B1369,テーブル12[],2,FALSE),"")</f>
        <v/>
      </c>
      <c r="F1369" s="25" t="str">
        <f>IFERROR(VLOOKUP($B1369,テーブル12[],3,FALSE),"")</f>
        <v/>
      </c>
      <c r="G1369" s="31" t="str">
        <f>IFERROR(VLOOKUP($B1369,テーブル12[],4,FALSE),"")</f>
        <v/>
      </c>
      <c r="H1369" s="25" t="str">
        <f t="shared" si="27"/>
        <v/>
      </c>
    </row>
    <row r="1370" spans="4:8">
      <c r="D1370" s="27" t="str">
        <f>IFERROR(VLOOKUP(A1370,テーブル11[],2,FALSE),"")</f>
        <v/>
      </c>
      <c r="E1370" s="25" t="str">
        <f>IFERROR(VLOOKUP($B1370,テーブル12[],2,FALSE),"")</f>
        <v/>
      </c>
      <c r="F1370" s="25" t="str">
        <f>IFERROR(VLOOKUP($B1370,テーブル12[],3,FALSE),"")</f>
        <v/>
      </c>
      <c r="G1370" s="31" t="str">
        <f>IFERROR(VLOOKUP($B1370,テーブル12[],4,FALSE),"")</f>
        <v/>
      </c>
      <c r="H1370" s="25" t="str">
        <f t="shared" si="27"/>
        <v/>
      </c>
    </row>
    <row r="1371" spans="4:8">
      <c r="D1371" s="27" t="str">
        <f>IFERROR(VLOOKUP(A1371,テーブル11[],2,FALSE),"")</f>
        <v/>
      </c>
      <c r="E1371" s="25" t="str">
        <f>IFERROR(VLOOKUP($B1371,テーブル12[],2,FALSE),"")</f>
        <v/>
      </c>
      <c r="F1371" s="25" t="str">
        <f>IFERROR(VLOOKUP($B1371,テーブル12[],3,FALSE),"")</f>
        <v/>
      </c>
      <c r="G1371" s="31" t="str">
        <f>IFERROR(VLOOKUP($B1371,テーブル12[],4,FALSE),"")</f>
        <v/>
      </c>
      <c r="H1371" s="25" t="str">
        <f t="shared" si="27"/>
        <v/>
      </c>
    </row>
    <row r="1372" spans="4:8">
      <c r="D1372" s="27" t="str">
        <f>IFERROR(VLOOKUP(A1372,テーブル11[],2,FALSE),"")</f>
        <v/>
      </c>
      <c r="E1372" s="25" t="str">
        <f>IFERROR(VLOOKUP($B1372,テーブル12[],2,FALSE),"")</f>
        <v/>
      </c>
      <c r="F1372" s="25" t="str">
        <f>IFERROR(VLOOKUP($B1372,テーブル12[],3,FALSE),"")</f>
        <v/>
      </c>
      <c r="G1372" s="31" t="str">
        <f>IFERROR(VLOOKUP($B1372,テーブル12[],4,FALSE),"")</f>
        <v/>
      </c>
      <c r="H1372" s="25" t="str">
        <f t="shared" si="27"/>
        <v/>
      </c>
    </row>
    <row r="1373" spans="4:8">
      <c r="D1373" s="27" t="str">
        <f>IFERROR(VLOOKUP(A1373,テーブル11[],2,FALSE),"")</f>
        <v/>
      </c>
      <c r="E1373" s="25" t="str">
        <f>IFERROR(VLOOKUP($B1373,テーブル12[],2,FALSE),"")</f>
        <v/>
      </c>
      <c r="F1373" s="25" t="str">
        <f>IFERROR(VLOOKUP($B1373,テーブル12[],3,FALSE),"")</f>
        <v/>
      </c>
      <c r="G1373" s="31" t="str">
        <f>IFERROR(VLOOKUP($B1373,テーブル12[],4,FALSE),"")</f>
        <v/>
      </c>
      <c r="H1373" s="25" t="str">
        <f t="shared" si="27"/>
        <v/>
      </c>
    </row>
    <row r="1374" spans="4:8">
      <c r="D1374" s="27" t="str">
        <f>IFERROR(VLOOKUP(A1374,テーブル11[],2,FALSE),"")</f>
        <v/>
      </c>
      <c r="E1374" s="25" t="str">
        <f>IFERROR(VLOOKUP($B1374,テーブル12[],2,FALSE),"")</f>
        <v/>
      </c>
      <c r="F1374" s="25" t="str">
        <f>IFERROR(VLOOKUP($B1374,テーブル12[],3,FALSE),"")</f>
        <v/>
      </c>
      <c r="G1374" s="31" t="str">
        <f>IFERROR(VLOOKUP($B1374,テーブル12[],4,FALSE),"")</f>
        <v/>
      </c>
      <c r="H1374" s="25" t="str">
        <f t="shared" si="27"/>
        <v/>
      </c>
    </row>
    <row r="1375" spans="4:8">
      <c r="D1375" s="27" t="str">
        <f>IFERROR(VLOOKUP(A1375,テーブル11[],2,FALSE),"")</f>
        <v/>
      </c>
      <c r="E1375" s="25" t="str">
        <f>IFERROR(VLOOKUP($B1375,テーブル12[],2,FALSE),"")</f>
        <v/>
      </c>
      <c r="F1375" s="25" t="str">
        <f>IFERROR(VLOOKUP($B1375,テーブル12[],3,FALSE),"")</f>
        <v/>
      </c>
      <c r="G1375" s="31" t="str">
        <f>IFERROR(VLOOKUP($B1375,テーブル12[],4,FALSE),"")</f>
        <v/>
      </c>
      <c r="H1375" s="25" t="str">
        <f t="shared" si="27"/>
        <v/>
      </c>
    </row>
    <row r="1376" spans="4:8">
      <c r="D1376" s="27" t="str">
        <f>IFERROR(VLOOKUP(A1376,テーブル11[],2,FALSE),"")</f>
        <v/>
      </c>
      <c r="E1376" s="25" t="str">
        <f>IFERROR(VLOOKUP($B1376,テーブル12[],2,FALSE),"")</f>
        <v/>
      </c>
      <c r="F1376" s="25" t="str">
        <f>IFERROR(VLOOKUP($B1376,テーブル12[],3,FALSE),"")</f>
        <v/>
      </c>
      <c r="G1376" s="31" t="str">
        <f>IFERROR(VLOOKUP($B1376,テーブル12[],4,FALSE),"")</f>
        <v/>
      </c>
      <c r="H1376" s="25" t="str">
        <f t="shared" si="27"/>
        <v/>
      </c>
    </row>
    <row r="1377" spans="4:8">
      <c r="D1377" s="27" t="str">
        <f>IFERROR(VLOOKUP(A1377,テーブル11[],2,FALSE),"")</f>
        <v/>
      </c>
      <c r="E1377" s="25" t="str">
        <f>IFERROR(VLOOKUP($B1377,テーブル12[],2,FALSE),"")</f>
        <v/>
      </c>
      <c r="F1377" s="25" t="str">
        <f>IFERROR(VLOOKUP($B1377,テーブル12[],3,FALSE),"")</f>
        <v/>
      </c>
      <c r="G1377" s="31" t="str">
        <f>IFERROR(VLOOKUP($B1377,テーブル12[],4,FALSE),"")</f>
        <v/>
      </c>
      <c r="H1377" s="25" t="str">
        <f t="shared" si="27"/>
        <v/>
      </c>
    </row>
    <row r="1378" spans="4:8">
      <c r="D1378" s="27" t="str">
        <f>IFERROR(VLOOKUP(A1378,テーブル11[],2,FALSE),"")</f>
        <v/>
      </c>
      <c r="E1378" s="25" t="str">
        <f>IFERROR(VLOOKUP($B1378,テーブル12[],2,FALSE),"")</f>
        <v/>
      </c>
      <c r="F1378" s="25" t="str">
        <f>IFERROR(VLOOKUP($B1378,テーブル12[],3,FALSE),"")</f>
        <v/>
      </c>
      <c r="G1378" s="31" t="str">
        <f>IFERROR(VLOOKUP($B1378,テーブル12[],4,FALSE),"")</f>
        <v/>
      </c>
      <c r="H1378" s="25" t="str">
        <f t="shared" si="27"/>
        <v/>
      </c>
    </row>
    <row r="1379" spans="4:8">
      <c r="D1379" s="27" t="str">
        <f>IFERROR(VLOOKUP(A1379,テーブル11[],2,FALSE),"")</f>
        <v/>
      </c>
      <c r="E1379" s="25" t="str">
        <f>IFERROR(VLOOKUP($B1379,テーブル12[],2,FALSE),"")</f>
        <v/>
      </c>
      <c r="F1379" s="25" t="str">
        <f>IFERROR(VLOOKUP($B1379,テーブル12[],3,FALSE),"")</f>
        <v/>
      </c>
      <c r="G1379" s="31" t="str">
        <f>IFERROR(VLOOKUP($B1379,テーブル12[],4,FALSE),"")</f>
        <v/>
      </c>
      <c r="H1379" s="25" t="str">
        <f t="shared" si="27"/>
        <v/>
      </c>
    </row>
    <row r="1380" spans="4:8">
      <c r="D1380" s="27" t="str">
        <f>IFERROR(VLOOKUP(A1380,テーブル11[],2,FALSE),"")</f>
        <v/>
      </c>
      <c r="E1380" s="25" t="str">
        <f>IFERROR(VLOOKUP($B1380,テーブル12[],2,FALSE),"")</f>
        <v/>
      </c>
      <c r="F1380" s="25" t="str">
        <f>IFERROR(VLOOKUP($B1380,テーブル12[],3,FALSE),"")</f>
        <v/>
      </c>
      <c r="G1380" s="31" t="str">
        <f>IFERROR(VLOOKUP($B1380,テーブル12[],4,FALSE),"")</f>
        <v/>
      </c>
      <c r="H1380" s="25" t="str">
        <f t="shared" si="27"/>
        <v/>
      </c>
    </row>
    <row r="1381" spans="4:8">
      <c r="D1381" s="27" t="str">
        <f>IFERROR(VLOOKUP(A1381,テーブル11[],2,FALSE),"")</f>
        <v/>
      </c>
      <c r="E1381" s="25" t="str">
        <f>IFERROR(VLOOKUP($B1381,テーブル12[],2,FALSE),"")</f>
        <v/>
      </c>
      <c r="F1381" s="25" t="str">
        <f>IFERROR(VLOOKUP($B1381,テーブル12[],3,FALSE),"")</f>
        <v/>
      </c>
      <c r="G1381" s="31" t="str">
        <f>IFERROR(VLOOKUP($B1381,テーブル12[],4,FALSE),"")</f>
        <v/>
      </c>
      <c r="H1381" s="25" t="str">
        <f t="shared" si="27"/>
        <v/>
      </c>
    </row>
    <row r="1382" spans="4:8">
      <c r="D1382" s="27" t="str">
        <f>IFERROR(VLOOKUP(A1382,テーブル11[],2,FALSE),"")</f>
        <v/>
      </c>
      <c r="E1382" s="25" t="str">
        <f>IFERROR(VLOOKUP($B1382,テーブル12[],2,FALSE),"")</f>
        <v/>
      </c>
      <c r="F1382" s="25" t="str">
        <f>IFERROR(VLOOKUP($B1382,テーブル12[],3,FALSE),"")</f>
        <v/>
      </c>
      <c r="G1382" s="31" t="str">
        <f>IFERROR(VLOOKUP($B1382,テーブル12[],4,FALSE),"")</f>
        <v/>
      </c>
      <c r="H1382" s="25" t="str">
        <f t="shared" si="27"/>
        <v/>
      </c>
    </row>
    <row r="1383" spans="4:8">
      <c r="D1383" s="27" t="str">
        <f>IFERROR(VLOOKUP(A1383,テーブル11[],2,FALSE),"")</f>
        <v/>
      </c>
      <c r="E1383" s="25" t="str">
        <f>IFERROR(VLOOKUP($B1383,テーブル12[],2,FALSE),"")</f>
        <v/>
      </c>
      <c r="F1383" s="25" t="str">
        <f>IFERROR(VLOOKUP($B1383,テーブル12[],3,FALSE),"")</f>
        <v/>
      </c>
      <c r="G1383" s="31" t="str">
        <f>IFERROR(VLOOKUP($B1383,テーブル12[],4,FALSE),"")</f>
        <v/>
      </c>
      <c r="H1383" s="25" t="str">
        <f t="shared" si="27"/>
        <v/>
      </c>
    </row>
    <row r="1384" spans="4:8">
      <c r="D1384" s="27" t="str">
        <f>IFERROR(VLOOKUP(A1384,テーブル11[],2,FALSE),"")</f>
        <v/>
      </c>
      <c r="E1384" s="25" t="str">
        <f>IFERROR(VLOOKUP($B1384,テーブル12[],2,FALSE),"")</f>
        <v/>
      </c>
      <c r="F1384" s="25" t="str">
        <f>IFERROR(VLOOKUP($B1384,テーブル12[],3,FALSE),"")</f>
        <v/>
      </c>
      <c r="G1384" s="31" t="str">
        <f>IFERROR(VLOOKUP($B1384,テーブル12[],4,FALSE),"")</f>
        <v/>
      </c>
      <c r="H1384" s="25" t="str">
        <f t="shared" si="27"/>
        <v/>
      </c>
    </row>
    <row r="1385" spans="4:8">
      <c r="D1385" s="27" t="str">
        <f>IFERROR(VLOOKUP(A1385,テーブル11[],2,FALSE),"")</f>
        <v/>
      </c>
      <c r="E1385" s="25" t="str">
        <f>IFERROR(VLOOKUP($B1385,テーブル12[],2,FALSE),"")</f>
        <v/>
      </c>
      <c r="F1385" s="25" t="str">
        <f>IFERROR(VLOOKUP($B1385,テーブル12[],3,FALSE),"")</f>
        <v/>
      </c>
      <c r="G1385" s="31" t="str">
        <f>IFERROR(VLOOKUP($B1385,テーブル12[],4,FALSE),"")</f>
        <v/>
      </c>
      <c r="H1385" s="25" t="str">
        <f t="shared" si="27"/>
        <v/>
      </c>
    </row>
    <row r="1386" spans="4:8">
      <c r="D1386" s="27" t="str">
        <f>IFERROR(VLOOKUP(A1386,テーブル11[],2,FALSE),"")</f>
        <v/>
      </c>
      <c r="E1386" s="25" t="str">
        <f>IFERROR(VLOOKUP($B1386,テーブル12[],2,FALSE),"")</f>
        <v/>
      </c>
      <c r="F1386" s="25" t="str">
        <f>IFERROR(VLOOKUP($B1386,テーブル12[],3,FALSE),"")</f>
        <v/>
      </c>
      <c r="G1386" s="31" t="str">
        <f>IFERROR(VLOOKUP($B1386,テーブル12[],4,FALSE),"")</f>
        <v/>
      </c>
      <c r="H1386" s="25" t="str">
        <f t="shared" si="27"/>
        <v/>
      </c>
    </row>
    <row r="1387" spans="4:8">
      <c r="D1387" s="27" t="str">
        <f>IFERROR(VLOOKUP(A1387,テーブル11[],2,FALSE),"")</f>
        <v/>
      </c>
      <c r="E1387" s="25" t="str">
        <f>IFERROR(VLOOKUP($B1387,テーブル12[],2,FALSE),"")</f>
        <v/>
      </c>
      <c r="F1387" s="25" t="str">
        <f>IFERROR(VLOOKUP($B1387,テーブル12[],3,FALSE),"")</f>
        <v/>
      </c>
      <c r="G1387" s="31" t="str">
        <f>IFERROR(VLOOKUP($B1387,テーブル12[],4,FALSE),"")</f>
        <v/>
      </c>
      <c r="H1387" s="25" t="str">
        <f t="shared" si="27"/>
        <v/>
      </c>
    </row>
    <row r="1388" spans="4:8">
      <c r="D1388" s="27" t="str">
        <f>IFERROR(VLOOKUP(A1388,テーブル11[],2,FALSE),"")</f>
        <v/>
      </c>
      <c r="E1388" s="25" t="str">
        <f>IFERROR(VLOOKUP($B1388,テーブル12[],2,FALSE),"")</f>
        <v/>
      </c>
      <c r="F1388" s="25" t="str">
        <f>IFERROR(VLOOKUP($B1388,テーブル12[],3,FALSE),"")</f>
        <v/>
      </c>
      <c r="G1388" s="31" t="str">
        <f>IFERROR(VLOOKUP($B1388,テーブル12[],4,FALSE),"")</f>
        <v/>
      </c>
      <c r="H1388" s="25" t="str">
        <f t="shared" si="27"/>
        <v/>
      </c>
    </row>
    <row r="1389" spans="4:8">
      <c r="D1389" s="27" t="str">
        <f>IFERROR(VLOOKUP(A1389,テーブル11[],2,FALSE),"")</f>
        <v/>
      </c>
      <c r="E1389" s="25" t="str">
        <f>IFERROR(VLOOKUP($B1389,テーブル12[],2,FALSE),"")</f>
        <v/>
      </c>
      <c r="F1389" s="25" t="str">
        <f>IFERROR(VLOOKUP($B1389,テーブル12[],3,FALSE),"")</f>
        <v/>
      </c>
      <c r="G1389" s="31" t="str">
        <f>IFERROR(VLOOKUP($B1389,テーブル12[],4,FALSE),"")</f>
        <v/>
      </c>
      <c r="H1389" s="25" t="str">
        <f t="shared" si="27"/>
        <v/>
      </c>
    </row>
    <row r="1390" spans="4:8">
      <c r="D1390" s="27" t="str">
        <f>IFERROR(VLOOKUP(A1390,テーブル11[],2,FALSE),"")</f>
        <v/>
      </c>
      <c r="E1390" s="25" t="str">
        <f>IFERROR(VLOOKUP($B1390,テーブル12[],2,FALSE),"")</f>
        <v/>
      </c>
      <c r="F1390" s="25" t="str">
        <f>IFERROR(VLOOKUP($B1390,テーブル12[],3,FALSE),"")</f>
        <v/>
      </c>
      <c r="G1390" s="31" t="str">
        <f>IFERROR(VLOOKUP($B1390,テーブル12[],4,FALSE),"")</f>
        <v/>
      </c>
      <c r="H1390" s="25" t="str">
        <f t="shared" si="27"/>
        <v/>
      </c>
    </row>
    <row r="1391" spans="4:8">
      <c r="D1391" s="27" t="str">
        <f>IFERROR(VLOOKUP(A1391,テーブル11[],2,FALSE),"")</f>
        <v/>
      </c>
      <c r="E1391" s="25" t="str">
        <f>IFERROR(VLOOKUP($B1391,テーブル12[],2,FALSE),"")</f>
        <v/>
      </c>
      <c r="F1391" s="25" t="str">
        <f>IFERROR(VLOOKUP($B1391,テーブル12[],3,FALSE),"")</f>
        <v/>
      </c>
      <c r="G1391" s="31" t="str">
        <f>IFERROR(VLOOKUP($B1391,テーブル12[],4,FALSE),"")</f>
        <v/>
      </c>
      <c r="H1391" s="25" t="str">
        <f t="shared" si="27"/>
        <v/>
      </c>
    </row>
    <row r="1392" spans="4:8">
      <c r="D1392" s="27" t="str">
        <f>IFERROR(VLOOKUP(A1392,テーブル11[],2,FALSE),"")</f>
        <v/>
      </c>
      <c r="E1392" s="25" t="str">
        <f>IFERROR(VLOOKUP($B1392,テーブル12[],2,FALSE),"")</f>
        <v/>
      </c>
      <c r="F1392" s="25" t="str">
        <f>IFERROR(VLOOKUP($B1392,テーブル12[],3,FALSE),"")</f>
        <v/>
      </c>
      <c r="G1392" s="31" t="str">
        <f>IFERROR(VLOOKUP($B1392,テーブル12[],4,FALSE),"")</f>
        <v/>
      </c>
      <c r="H1392" s="25" t="str">
        <f t="shared" si="27"/>
        <v/>
      </c>
    </row>
    <row r="1393" spans="4:8">
      <c r="D1393" s="27" t="str">
        <f>IFERROR(VLOOKUP(A1393,テーブル11[],2,FALSE),"")</f>
        <v/>
      </c>
      <c r="E1393" s="25" t="str">
        <f>IFERROR(VLOOKUP($B1393,テーブル12[],2,FALSE),"")</f>
        <v/>
      </c>
      <c r="F1393" s="25" t="str">
        <f>IFERROR(VLOOKUP($B1393,テーブル12[],3,FALSE),"")</f>
        <v/>
      </c>
      <c r="G1393" s="31" t="str">
        <f>IFERROR(VLOOKUP($B1393,テーブル12[],4,FALSE),"")</f>
        <v/>
      </c>
      <c r="H1393" s="25" t="str">
        <f t="shared" si="27"/>
        <v/>
      </c>
    </row>
    <row r="1394" spans="4:8">
      <c r="D1394" s="27" t="str">
        <f>IFERROR(VLOOKUP(A1394,テーブル11[],2,FALSE),"")</f>
        <v/>
      </c>
      <c r="E1394" s="25" t="str">
        <f>IFERROR(VLOOKUP($B1394,テーブル12[],2,FALSE),"")</f>
        <v/>
      </c>
      <c r="F1394" s="25" t="str">
        <f>IFERROR(VLOOKUP($B1394,テーブル12[],3,FALSE),"")</f>
        <v/>
      </c>
      <c r="G1394" s="31" t="str">
        <f>IFERROR(VLOOKUP($B1394,テーブル12[],4,FALSE),"")</f>
        <v/>
      </c>
      <c r="H1394" s="25" t="str">
        <f t="shared" si="27"/>
        <v/>
      </c>
    </row>
    <row r="1395" spans="4:8">
      <c r="D1395" s="27" t="str">
        <f>IFERROR(VLOOKUP(A1395,テーブル11[],2,FALSE),"")</f>
        <v/>
      </c>
      <c r="E1395" s="25" t="str">
        <f>IFERROR(VLOOKUP($B1395,テーブル12[],2,FALSE),"")</f>
        <v/>
      </c>
      <c r="F1395" s="25" t="str">
        <f>IFERROR(VLOOKUP($B1395,テーブル12[],3,FALSE),"")</f>
        <v/>
      </c>
      <c r="G1395" s="31" t="str">
        <f>IFERROR(VLOOKUP($B1395,テーブル12[],4,FALSE),"")</f>
        <v/>
      </c>
      <c r="H1395" s="25" t="str">
        <f t="shared" si="27"/>
        <v/>
      </c>
    </row>
    <row r="1396" spans="4:8">
      <c r="D1396" s="27" t="str">
        <f>IFERROR(VLOOKUP(A1396,テーブル11[],2,FALSE),"")</f>
        <v/>
      </c>
      <c r="E1396" s="25" t="str">
        <f>IFERROR(VLOOKUP($B1396,テーブル12[],2,FALSE),"")</f>
        <v/>
      </c>
      <c r="F1396" s="25" t="str">
        <f>IFERROR(VLOOKUP($B1396,テーブル12[],3,FALSE),"")</f>
        <v/>
      </c>
      <c r="G1396" s="31" t="str">
        <f>IFERROR(VLOOKUP($B1396,テーブル12[],4,FALSE),"")</f>
        <v/>
      </c>
      <c r="H1396" s="25" t="str">
        <f t="shared" si="27"/>
        <v/>
      </c>
    </row>
    <row r="1397" spans="4:8">
      <c r="D1397" s="27" t="str">
        <f>IFERROR(VLOOKUP(A1397,テーブル11[],2,FALSE),"")</f>
        <v/>
      </c>
      <c r="E1397" s="25" t="str">
        <f>IFERROR(VLOOKUP($B1397,テーブル12[],2,FALSE),"")</f>
        <v/>
      </c>
      <c r="F1397" s="25" t="str">
        <f>IFERROR(VLOOKUP($B1397,テーブル12[],3,FALSE),"")</f>
        <v/>
      </c>
      <c r="G1397" s="31" t="str">
        <f>IFERROR(VLOOKUP($B1397,テーブル12[],4,FALSE),"")</f>
        <v/>
      </c>
      <c r="H1397" s="25" t="str">
        <f t="shared" si="27"/>
        <v/>
      </c>
    </row>
    <row r="1398" spans="4:8">
      <c r="D1398" s="27" t="str">
        <f>IFERROR(VLOOKUP(A1398,テーブル11[],2,FALSE),"")</f>
        <v/>
      </c>
      <c r="E1398" s="25" t="str">
        <f>IFERROR(VLOOKUP($B1398,テーブル12[],2,FALSE),"")</f>
        <v/>
      </c>
      <c r="F1398" s="25" t="str">
        <f>IFERROR(VLOOKUP($B1398,テーブル12[],3,FALSE),"")</f>
        <v/>
      </c>
      <c r="G1398" s="31" t="str">
        <f>IFERROR(VLOOKUP($B1398,テーブル12[],4,FALSE),"")</f>
        <v/>
      </c>
      <c r="H1398" s="25" t="str">
        <f t="shared" si="27"/>
        <v/>
      </c>
    </row>
    <row r="1399" spans="4:8">
      <c r="D1399" s="27" t="str">
        <f>IFERROR(VLOOKUP(A1399,テーブル11[],2,FALSE),"")</f>
        <v/>
      </c>
      <c r="E1399" s="25" t="str">
        <f>IFERROR(VLOOKUP($B1399,テーブル12[],2,FALSE),"")</f>
        <v/>
      </c>
      <c r="F1399" s="25" t="str">
        <f>IFERROR(VLOOKUP($B1399,テーブル12[],3,FALSE),"")</f>
        <v/>
      </c>
      <c r="G1399" s="31" t="str">
        <f>IFERROR(VLOOKUP($B1399,テーブル12[],4,FALSE),"")</f>
        <v/>
      </c>
      <c r="H1399" s="25" t="str">
        <f t="shared" si="27"/>
        <v/>
      </c>
    </row>
    <row r="1400" spans="4:8">
      <c r="D1400" s="27" t="str">
        <f>IFERROR(VLOOKUP(A1400,テーブル11[],2,FALSE),"")</f>
        <v/>
      </c>
      <c r="E1400" s="25" t="str">
        <f>IFERROR(VLOOKUP($B1400,テーブル12[],2,FALSE),"")</f>
        <v/>
      </c>
      <c r="F1400" s="25" t="str">
        <f>IFERROR(VLOOKUP($B1400,テーブル12[],3,FALSE),"")</f>
        <v/>
      </c>
      <c r="G1400" s="31" t="str">
        <f>IFERROR(VLOOKUP($B1400,テーブル12[],4,FALSE),"")</f>
        <v/>
      </c>
      <c r="H1400" s="25" t="str">
        <f t="shared" si="27"/>
        <v/>
      </c>
    </row>
    <row r="1401" spans="4:8">
      <c r="D1401" s="27" t="str">
        <f>IFERROR(VLOOKUP(A1401,テーブル11[],2,FALSE),"")</f>
        <v/>
      </c>
      <c r="E1401" s="25" t="str">
        <f>IFERROR(VLOOKUP($B1401,テーブル12[],2,FALSE),"")</f>
        <v/>
      </c>
      <c r="F1401" s="25" t="str">
        <f>IFERROR(VLOOKUP($B1401,テーブル12[],3,FALSE),"")</f>
        <v/>
      </c>
      <c r="G1401" s="31" t="str">
        <f>IFERROR(VLOOKUP($B1401,テーブル12[],4,FALSE),"")</f>
        <v/>
      </c>
      <c r="H1401" s="25" t="str">
        <f t="shared" si="27"/>
        <v/>
      </c>
    </row>
    <row r="1402" spans="4:8">
      <c r="D1402" s="27" t="str">
        <f>IFERROR(VLOOKUP(A1402,テーブル11[],2,FALSE),"")</f>
        <v/>
      </c>
      <c r="E1402" s="25" t="str">
        <f>IFERROR(VLOOKUP($B1402,テーブル12[],2,FALSE),"")</f>
        <v/>
      </c>
      <c r="F1402" s="25" t="str">
        <f>IFERROR(VLOOKUP($B1402,テーブル12[],3,FALSE),"")</f>
        <v/>
      </c>
      <c r="G1402" s="31" t="str">
        <f>IFERROR(VLOOKUP($B1402,テーブル12[],4,FALSE),"")</f>
        <v/>
      </c>
      <c r="H1402" s="25" t="str">
        <f t="shared" si="27"/>
        <v/>
      </c>
    </row>
    <row r="1403" spans="4:8">
      <c r="D1403" s="27" t="str">
        <f>IFERROR(VLOOKUP(A1403,テーブル11[],2,FALSE),"")</f>
        <v/>
      </c>
      <c r="E1403" s="25" t="str">
        <f>IFERROR(VLOOKUP($B1403,テーブル12[],2,FALSE),"")</f>
        <v/>
      </c>
      <c r="F1403" s="25" t="str">
        <f>IFERROR(VLOOKUP($B1403,テーブル12[],3,FALSE),"")</f>
        <v/>
      </c>
      <c r="G1403" s="31" t="str">
        <f>IFERROR(VLOOKUP($B1403,テーブル12[],4,FALSE),"")</f>
        <v/>
      </c>
      <c r="H1403" s="25" t="str">
        <f t="shared" si="27"/>
        <v/>
      </c>
    </row>
    <row r="1404" spans="4:8">
      <c r="D1404" s="27" t="str">
        <f>IFERROR(VLOOKUP(A1404,テーブル11[],2,FALSE),"")</f>
        <v/>
      </c>
      <c r="E1404" s="25" t="str">
        <f>IFERROR(VLOOKUP($B1404,テーブル12[],2,FALSE),"")</f>
        <v/>
      </c>
      <c r="F1404" s="25" t="str">
        <f>IFERROR(VLOOKUP($B1404,テーブル12[],3,FALSE),"")</f>
        <v/>
      </c>
      <c r="G1404" s="31" t="str">
        <f>IFERROR(VLOOKUP($B1404,テーブル12[],4,FALSE),"")</f>
        <v/>
      </c>
      <c r="H1404" s="25" t="str">
        <f t="shared" si="27"/>
        <v/>
      </c>
    </row>
    <row r="1405" spans="4:8">
      <c r="D1405" s="27" t="str">
        <f>IFERROR(VLOOKUP(A1405,テーブル11[],2,FALSE),"")</f>
        <v/>
      </c>
      <c r="E1405" s="25" t="str">
        <f>IFERROR(VLOOKUP($B1405,テーブル12[],2,FALSE),"")</f>
        <v/>
      </c>
      <c r="F1405" s="25" t="str">
        <f>IFERROR(VLOOKUP($B1405,テーブル12[],3,FALSE),"")</f>
        <v/>
      </c>
      <c r="G1405" s="31" t="str">
        <f>IFERROR(VLOOKUP($B1405,テーブル12[],4,FALSE),"")</f>
        <v/>
      </c>
      <c r="H1405" s="25" t="str">
        <f t="shared" si="27"/>
        <v/>
      </c>
    </row>
    <row r="1406" spans="4:8">
      <c r="D1406" s="27" t="str">
        <f>IFERROR(VLOOKUP(A1406,テーブル11[],2,FALSE),"")</f>
        <v/>
      </c>
      <c r="E1406" s="25" t="str">
        <f>IFERROR(VLOOKUP($B1406,テーブル12[],2,FALSE),"")</f>
        <v/>
      </c>
      <c r="F1406" s="25" t="str">
        <f>IFERROR(VLOOKUP($B1406,テーブル12[],3,FALSE),"")</f>
        <v/>
      </c>
      <c r="G1406" s="31" t="str">
        <f>IFERROR(VLOOKUP($B1406,テーブル12[],4,FALSE),"")</f>
        <v/>
      </c>
      <c r="H1406" s="25" t="str">
        <f t="shared" si="27"/>
        <v/>
      </c>
    </row>
    <row r="1407" spans="4:8">
      <c r="D1407" s="27" t="str">
        <f>IFERROR(VLOOKUP(A1407,テーブル11[],2,FALSE),"")</f>
        <v/>
      </c>
      <c r="E1407" s="25" t="str">
        <f>IFERROR(VLOOKUP($B1407,テーブル12[],2,FALSE),"")</f>
        <v/>
      </c>
      <c r="F1407" s="25" t="str">
        <f>IFERROR(VLOOKUP($B1407,テーブル12[],3,FALSE),"")</f>
        <v/>
      </c>
      <c r="G1407" s="31" t="str">
        <f>IFERROR(VLOOKUP($B1407,テーブル12[],4,FALSE),"")</f>
        <v/>
      </c>
      <c r="H1407" s="25" t="str">
        <f t="shared" si="27"/>
        <v/>
      </c>
    </row>
    <row r="1408" spans="4:8">
      <c r="D1408" s="27" t="str">
        <f>IFERROR(VLOOKUP(A1408,テーブル11[],2,FALSE),"")</f>
        <v/>
      </c>
      <c r="E1408" s="25" t="str">
        <f>IFERROR(VLOOKUP($B1408,テーブル12[],2,FALSE),"")</f>
        <v/>
      </c>
      <c r="F1408" s="25" t="str">
        <f>IFERROR(VLOOKUP($B1408,テーブル12[],3,FALSE),"")</f>
        <v/>
      </c>
      <c r="G1408" s="31" t="str">
        <f>IFERROR(VLOOKUP($B1408,テーブル12[],4,FALSE),"")</f>
        <v/>
      </c>
      <c r="H1408" s="25" t="str">
        <f t="shared" si="27"/>
        <v/>
      </c>
    </row>
    <row r="1409" spans="4:8">
      <c r="D1409" s="27" t="str">
        <f>IFERROR(VLOOKUP(A1409,テーブル11[],2,FALSE),"")</f>
        <v/>
      </c>
      <c r="E1409" s="25" t="str">
        <f>IFERROR(VLOOKUP($B1409,テーブル12[],2,FALSE),"")</f>
        <v/>
      </c>
      <c r="F1409" s="25" t="str">
        <f>IFERROR(VLOOKUP($B1409,テーブル12[],3,FALSE),"")</f>
        <v/>
      </c>
      <c r="G1409" s="31" t="str">
        <f>IFERROR(VLOOKUP($B1409,テーブル12[],4,FALSE),"")</f>
        <v/>
      </c>
      <c r="H1409" s="25" t="str">
        <f t="shared" si="27"/>
        <v/>
      </c>
    </row>
    <row r="1410" spans="4:8">
      <c r="D1410" s="27" t="str">
        <f>IFERROR(VLOOKUP(A1410,テーブル11[],2,FALSE),"")</f>
        <v/>
      </c>
      <c r="E1410" s="25" t="str">
        <f>IFERROR(VLOOKUP($B1410,テーブル12[],2,FALSE),"")</f>
        <v/>
      </c>
      <c r="F1410" s="25" t="str">
        <f>IFERROR(VLOOKUP($B1410,テーブル12[],3,FALSE),"")</f>
        <v/>
      </c>
      <c r="G1410" s="31" t="str">
        <f>IFERROR(VLOOKUP($B1410,テーブル12[],4,FALSE),"")</f>
        <v/>
      </c>
      <c r="H1410" s="25" t="str">
        <f t="shared" ref="H1410:H1473" si="28">IF(C1410=0,"",C1410)</f>
        <v/>
      </c>
    </row>
    <row r="1411" spans="4:8">
      <c r="D1411" s="27" t="str">
        <f>IFERROR(VLOOKUP(A1411,テーブル11[],2,FALSE),"")</f>
        <v/>
      </c>
      <c r="E1411" s="25" t="str">
        <f>IFERROR(VLOOKUP($B1411,テーブル12[],2,FALSE),"")</f>
        <v/>
      </c>
      <c r="F1411" s="25" t="str">
        <f>IFERROR(VLOOKUP($B1411,テーブル12[],3,FALSE),"")</f>
        <v/>
      </c>
      <c r="G1411" s="31" t="str">
        <f>IFERROR(VLOOKUP($B1411,テーブル12[],4,FALSE),"")</f>
        <v/>
      </c>
      <c r="H1411" s="25" t="str">
        <f t="shared" si="28"/>
        <v/>
      </c>
    </row>
    <row r="1412" spans="4:8">
      <c r="D1412" s="27" t="str">
        <f>IFERROR(VLOOKUP(A1412,テーブル11[],2,FALSE),"")</f>
        <v/>
      </c>
      <c r="E1412" s="25" t="str">
        <f>IFERROR(VLOOKUP($B1412,テーブル12[],2,FALSE),"")</f>
        <v/>
      </c>
      <c r="F1412" s="25" t="str">
        <f>IFERROR(VLOOKUP($B1412,テーブル12[],3,FALSE),"")</f>
        <v/>
      </c>
      <c r="G1412" s="31" t="str">
        <f>IFERROR(VLOOKUP($B1412,テーブル12[],4,FALSE),"")</f>
        <v/>
      </c>
      <c r="H1412" s="25" t="str">
        <f t="shared" si="28"/>
        <v/>
      </c>
    </row>
    <row r="1413" spans="4:8">
      <c r="D1413" s="27" t="str">
        <f>IFERROR(VLOOKUP(A1413,テーブル11[],2,FALSE),"")</f>
        <v/>
      </c>
      <c r="E1413" s="25" t="str">
        <f>IFERROR(VLOOKUP($B1413,テーブル12[],2,FALSE),"")</f>
        <v/>
      </c>
      <c r="F1413" s="25" t="str">
        <f>IFERROR(VLOOKUP($B1413,テーブル12[],3,FALSE),"")</f>
        <v/>
      </c>
      <c r="G1413" s="31" t="str">
        <f>IFERROR(VLOOKUP($B1413,テーブル12[],4,FALSE),"")</f>
        <v/>
      </c>
      <c r="H1413" s="25" t="str">
        <f t="shared" si="28"/>
        <v/>
      </c>
    </row>
    <row r="1414" spans="4:8">
      <c r="D1414" s="27" t="str">
        <f>IFERROR(VLOOKUP(A1414,テーブル11[],2,FALSE),"")</f>
        <v/>
      </c>
      <c r="E1414" s="25" t="str">
        <f>IFERROR(VLOOKUP($B1414,テーブル12[],2,FALSE),"")</f>
        <v/>
      </c>
      <c r="F1414" s="25" t="str">
        <f>IFERROR(VLOOKUP($B1414,テーブル12[],3,FALSE),"")</f>
        <v/>
      </c>
      <c r="G1414" s="31" t="str">
        <f>IFERROR(VLOOKUP($B1414,テーブル12[],4,FALSE),"")</f>
        <v/>
      </c>
      <c r="H1414" s="25" t="str">
        <f t="shared" si="28"/>
        <v/>
      </c>
    </row>
    <row r="1415" spans="4:8">
      <c r="D1415" s="27" t="str">
        <f>IFERROR(VLOOKUP(A1415,テーブル11[],2,FALSE),"")</f>
        <v/>
      </c>
      <c r="E1415" s="25" t="str">
        <f>IFERROR(VLOOKUP($B1415,テーブル12[],2,FALSE),"")</f>
        <v/>
      </c>
      <c r="F1415" s="25" t="str">
        <f>IFERROR(VLOOKUP($B1415,テーブル12[],3,FALSE),"")</f>
        <v/>
      </c>
      <c r="G1415" s="31" t="str">
        <f>IFERROR(VLOOKUP($B1415,テーブル12[],4,FALSE),"")</f>
        <v/>
      </c>
      <c r="H1415" s="25" t="str">
        <f t="shared" si="28"/>
        <v/>
      </c>
    </row>
    <row r="1416" spans="4:8">
      <c r="D1416" s="27" t="str">
        <f>IFERROR(VLOOKUP(A1416,テーブル11[],2,FALSE),"")</f>
        <v/>
      </c>
      <c r="E1416" s="25" t="str">
        <f>IFERROR(VLOOKUP($B1416,テーブル12[],2,FALSE),"")</f>
        <v/>
      </c>
      <c r="F1416" s="25" t="str">
        <f>IFERROR(VLOOKUP($B1416,テーブル12[],3,FALSE),"")</f>
        <v/>
      </c>
      <c r="G1416" s="31" t="str">
        <f>IFERROR(VLOOKUP($B1416,テーブル12[],4,FALSE),"")</f>
        <v/>
      </c>
      <c r="H1416" s="25" t="str">
        <f t="shared" si="28"/>
        <v/>
      </c>
    </row>
    <row r="1417" spans="4:8">
      <c r="D1417" s="27" t="str">
        <f>IFERROR(VLOOKUP(A1417,テーブル11[],2,FALSE),"")</f>
        <v/>
      </c>
      <c r="E1417" s="25" t="str">
        <f>IFERROR(VLOOKUP($B1417,テーブル12[],2,FALSE),"")</f>
        <v/>
      </c>
      <c r="F1417" s="25" t="str">
        <f>IFERROR(VLOOKUP($B1417,テーブル12[],3,FALSE),"")</f>
        <v/>
      </c>
      <c r="G1417" s="31" t="str">
        <f>IFERROR(VLOOKUP($B1417,テーブル12[],4,FALSE),"")</f>
        <v/>
      </c>
      <c r="H1417" s="25" t="str">
        <f t="shared" si="28"/>
        <v/>
      </c>
    </row>
    <row r="1418" spans="4:8">
      <c r="D1418" s="27" t="str">
        <f>IFERROR(VLOOKUP(A1418,テーブル11[],2,FALSE),"")</f>
        <v/>
      </c>
      <c r="E1418" s="25" t="str">
        <f>IFERROR(VLOOKUP($B1418,テーブル12[],2,FALSE),"")</f>
        <v/>
      </c>
      <c r="F1418" s="25" t="str">
        <f>IFERROR(VLOOKUP($B1418,テーブル12[],3,FALSE),"")</f>
        <v/>
      </c>
      <c r="G1418" s="31" t="str">
        <f>IFERROR(VLOOKUP($B1418,テーブル12[],4,FALSE),"")</f>
        <v/>
      </c>
      <c r="H1418" s="25" t="str">
        <f t="shared" si="28"/>
        <v/>
      </c>
    </row>
    <row r="1419" spans="4:8">
      <c r="D1419" s="27" t="str">
        <f>IFERROR(VLOOKUP(A1419,テーブル11[],2,FALSE),"")</f>
        <v/>
      </c>
      <c r="E1419" s="25" t="str">
        <f>IFERROR(VLOOKUP($B1419,テーブル12[],2,FALSE),"")</f>
        <v/>
      </c>
      <c r="F1419" s="25" t="str">
        <f>IFERROR(VLOOKUP($B1419,テーブル12[],3,FALSE),"")</f>
        <v/>
      </c>
      <c r="G1419" s="31" t="str">
        <f>IFERROR(VLOOKUP($B1419,テーブル12[],4,FALSE),"")</f>
        <v/>
      </c>
      <c r="H1419" s="25" t="str">
        <f t="shared" si="28"/>
        <v/>
      </c>
    </row>
    <row r="1420" spans="4:8">
      <c r="D1420" s="27" t="str">
        <f>IFERROR(VLOOKUP(A1420,テーブル11[],2,FALSE),"")</f>
        <v/>
      </c>
      <c r="E1420" s="25" t="str">
        <f>IFERROR(VLOOKUP($B1420,テーブル12[],2,FALSE),"")</f>
        <v/>
      </c>
      <c r="F1420" s="25" t="str">
        <f>IFERROR(VLOOKUP($B1420,テーブル12[],3,FALSE),"")</f>
        <v/>
      </c>
      <c r="G1420" s="31" t="str">
        <f>IFERROR(VLOOKUP($B1420,テーブル12[],4,FALSE),"")</f>
        <v/>
      </c>
      <c r="H1420" s="25" t="str">
        <f t="shared" si="28"/>
        <v/>
      </c>
    </row>
    <row r="1421" spans="4:8">
      <c r="D1421" s="27" t="str">
        <f>IFERROR(VLOOKUP(A1421,テーブル11[],2,FALSE),"")</f>
        <v/>
      </c>
      <c r="E1421" s="25" t="str">
        <f>IFERROR(VLOOKUP($B1421,テーブル12[],2,FALSE),"")</f>
        <v/>
      </c>
      <c r="F1421" s="25" t="str">
        <f>IFERROR(VLOOKUP($B1421,テーブル12[],3,FALSE),"")</f>
        <v/>
      </c>
      <c r="G1421" s="31" t="str">
        <f>IFERROR(VLOOKUP($B1421,テーブル12[],4,FALSE),"")</f>
        <v/>
      </c>
      <c r="H1421" s="25" t="str">
        <f t="shared" si="28"/>
        <v/>
      </c>
    </row>
    <row r="1422" spans="4:8">
      <c r="D1422" s="27" t="str">
        <f>IFERROR(VLOOKUP(A1422,テーブル11[],2,FALSE),"")</f>
        <v/>
      </c>
      <c r="E1422" s="25" t="str">
        <f>IFERROR(VLOOKUP($B1422,テーブル12[],2,FALSE),"")</f>
        <v/>
      </c>
      <c r="F1422" s="25" t="str">
        <f>IFERROR(VLOOKUP($B1422,テーブル12[],3,FALSE),"")</f>
        <v/>
      </c>
      <c r="G1422" s="31" t="str">
        <f>IFERROR(VLOOKUP($B1422,テーブル12[],4,FALSE),"")</f>
        <v/>
      </c>
      <c r="H1422" s="25" t="str">
        <f t="shared" si="28"/>
        <v/>
      </c>
    </row>
    <row r="1423" spans="4:8">
      <c r="D1423" s="27" t="str">
        <f>IFERROR(VLOOKUP(A1423,テーブル11[],2,FALSE),"")</f>
        <v/>
      </c>
      <c r="E1423" s="25" t="str">
        <f>IFERROR(VLOOKUP($B1423,テーブル12[],2,FALSE),"")</f>
        <v/>
      </c>
      <c r="F1423" s="25" t="str">
        <f>IFERROR(VLOOKUP($B1423,テーブル12[],3,FALSE),"")</f>
        <v/>
      </c>
      <c r="G1423" s="31" t="str">
        <f>IFERROR(VLOOKUP($B1423,テーブル12[],4,FALSE),"")</f>
        <v/>
      </c>
      <c r="H1423" s="25" t="str">
        <f t="shared" si="28"/>
        <v/>
      </c>
    </row>
    <row r="1424" spans="4:8">
      <c r="D1424" s="27" t="str">
        <f>IFERROR(VLOOKUP(A1424,テーブル11[],2,FALSE),"")</f>
        <v/>
      </c>
      <c r="E1424" s="25" t="str">
        <f>IFERROR(VLOOKUP($B1424,テーブル12[],2,FALSE),"")</f>
        <v/>
      </c>
      <c r="F1424" s="25" t="str">
        <f>IFERROR(VLOOKUP($B1424,テーブル12[],3,FALSE),"")</f>
        <v/>
      </c>
      <c r="G1424" s="31" t="str">
        <f>IFERROR(VLOOKUP($B1424,テーブル12[],4,FALSE),"")</f>
        <v/>
      </c>
      <c r="H1424" s="25" t="str">
        <f t="shared" si="28"/>
        <v/>
      </c>
    </row>
    <row r="1425" spans="4:8">
      <c r="D1425" s="27" t="str">
        <f>IFERROR(VLOOKUP(A1425,テーブル11[],2,FALSE),"")</f>
        <v/>
      </c>
      <c r="E1425" s="25" t="str">
        <f>IFERROR(VLOOKUP($B1425,テーブル12[],2,FALSE),"")</f>
        <v/>
      </c>
      <c r="F1425" s="25" t="str">
        <f>IFERROR(VLOOKUP($B1425,テーブル12[],3,FALSE),"")</f>
        <v/>
      </c>
      <c r="G1425" s="31" t="str">
        <f>IFERROR(VLOOKUP($B1425,テーブル12[],4,FALSE),"")</f>
        <v/>
      </c>
      <c r="H1425" s="25" t="str">
        <f t="shared" si="28"/>
        <v/>
      </c>
    </row>
    <row r="1426" spans="4:8">
      <c r="D1426" s="27" t="str">
        <f>IFERROR(VLOOKUP(A1426,テーブル11[],2,FALSE),"")</f>
        <v/>
      </c>
      <c r="E1426" s="25" t="str">
        <f>IFERROR(VLOOKUP($B1426,テーブル12[],2,FALSE),"")</f>
        <v/>
      </c>
      <c r="F1426" s="25" t="str">
        <f>IFERROR(VLOOKUP($B1426,テーブル12[],3,FALSE),"")</f>
        <v/>
      </c>
      <c r="G1426" s="31" t="str">
        <f>IFERROR(VLOOKUP($B1426,テーブル12[],4,FALSE),"")</f>
        <v/>
      </c>
      <c r="H1426" s="25" t="str">
        <f t="shared" si="28"/>
        <v/>
      </c>
    </row>
    <row r="1427" spans="4:8">
      <c r="D1427" s="27" t="str">
        <f>IFERROR(VLOOKUP(A1427,テーブル11[],2,FALSE),"")</f>
        <v/>
      </c>
      <c r="E1427" s="25" t="str">
        <f>IFERROR(VLOOKUP($B1427,テーブル12[],2,FALSE),"")</f>
        <v/>
      </c>
      <c r="F1427" s="25" t="str">
        <f>IFERROR(VLOOKUP($B1427,テーブル12[],3,FALSE),"")</f>
        <v/>
      </c>
      <c r="G1427" s="31" t="str">
        <f>IFERROR(VLOOKUP($B1427,テーブル12[],4,FALSE),"")</f>
        <v/>
      </c>
      <c r="H1427" s="25" t="str">
        <f t="shared" si="28"/>
        <v/>
      </c>
    </row>
    <row r="1428" spans="4:8">
      <c r="D1428" s="27" t="str">
        <f>IFERROR(VLOOKUP(A1428,テーブル11[],2,FALSE),"")</f>
        <v/>
      </c>
      <c r="E1428" s="25" t="str">
        <f>IFERROR(VLOOKUP($B1428,テーブル12[],2,FALSE),"")</f>
        <v/>
      </c>
      <c r="F1428" s="25" t="str">
        <f>IFERROR(VLOOKUP($B1428,テーブル12[],3,FALSE),"")</f>
        <v/>
      </c>
      <c r="G1428" s="31" t="str">
        <f>IFERROR(VLOOKUP($B1428,テーブル12[],4,FALSE),"")</f>
        <v/>
      </c>
      <c r="H1428" s="25" t="str">
        <f t="shared" si="28"/>
        <v/>
      </c>
    </row>
    <row r="1429" spans="4:8">
      <c r="D1429" s="27" t="str">
        <f>IFERROR(VLOOKUP(A1429,テーブル11[],2,FALSE),"")</f>
        <v/>
      </c>
      <c r="E1429" s="25" t="str">
        <f>IFERROR(VLOOKUP($B1429,テーブル12[],2,FALSE),"")</f>
        <v/>
      </c>
      <c r="F1429" s="25" t="str">
        <f>IFERROR(VLOOKUP($B1429,テーブル12[],3,FALSE),"")</f>
        <v/>
      </c>
      <c r="G1429" s="31" t="str">
        <f>IFERROR(VLOOKUP($B1429,テーブル12[],4,FALSE),"")</f>
        <v/>
      </c>
      <c r="H1429" s="25" t="str">
        <f t="shared" si="28"/>
        <v/>
      </c>
    </row>
    <row r="1430" spans="4:8">
      <c r="D1430" s="27" t="str">
        <f>IFERROR(VLOOKUP(A1430,テーブル11[],2,FALSE),"")</f>
        <v/>
      </c>
      <c r="E1430" s="25" t="str">
        <f>IFERROR(VLOOKUP($B1430,テーブル12[],2,FALSE),"")</f>
        <v/>
      </c>
      <c r="F1430" s="25" t="str">
        <f>IFERROR(VLOOKUP($B1430,テーブル12[],3,FALSE),"")</f>
        <v/>
      </c>
      <c r="G1430" s="31" t="str">
        <f>IFERROR(VLOOKUP($B1430,テーブル12[],4,FALSE),"")</f>
        <v/>
      </c>
      <c r="H1430" s="25" t="str">
        <f t="shared" si="28"/>
        <v/>
      </c>
    </row>
    <row r="1431" spans="4:8">
      <c r="D1431" s="27" t="str">
        <f>IFERROR(VLOOKUP(A1431,テーブル11[],2,FALSE),"")</f>
        <v/>
      </c>
      <c r="E1431" s="25" t="str">
        <f>IFERROR(VLOOKUP($B1431,テーブル12[],2,FALSE),"")</f>
        <v/>
      </c>
      <c r="F1431" s="25" t="str">
        <f>IFERROR(VLOOKUP($B1431,テーブル12[],3,FALSE),"")</f>
        <v/>
      </c>
      <c r="G1431" s="31" t="str">
        <f>IFERROR(VLOOKUP($B1431,テーブル12[],4,FALSE),"")</f>
        <v/>
      </c>
      <c r="H1431" s="25" t="str">
        <f t="shared" si="28"/>
        <v/>
      </c>
    </row>
    <row r="1432" spans="4:8">
      <c r="D1432" s="27" t="str">
        <f>IFERROR(VLOOKUP(A1432,テーブル11[],2,FALSE),"")</f>
        <v/>
      </c>
      <c r="E1432" s="25" t="str">
        <f>IFERROR(VLOOKUP($B1432,テーブル12[],2,FALSE),"")</f>
        <v/>
      </c>
      <c r="F1432" s="25" t="str">
        <f>IFERROR(VLOOKUP($B1432,テーブル12[],3,FALSE),"")</f>
        <v/>
      </c>
      <c r="G1432" s="31" t="str">
        <f>IFERROR(VLOOKUP($B1432,テーブル12[],4,FALSE),"")</f>
        <v/>
      </c>
      <c r="H1432" s="25" t="str">
        <f t="shared" si="28"/>
        <v/>
      </c>
    </row>
    <row r="1433" spans="4:8">
      <c r="D1433" s="27" t="str">
        <f>IFERROR(VLOOKUP(A1433,テーブル11[],2,FALSE),"")</f>
        <v/>
      </c>
      <c r="E1433" s="25" t="str">
        <f>IFERROR(VLOOKUP($B1433,テーブル12[],2,FALSE),"")</f>
        <v/>
      </c>
      <c r="F1433" s="25" t="str">
        <f>IFERROR(VLOOKUP($B1433,テーブル12[],3,FALSE),"")</f>
        <v/>
      </c>
      <c r="G1433" s="31" t="str">
        <f>IFERROR(VLOOKUP($B1433,テーブル12[],4,FALSE),"")</f>
        <v/>
      </c>
      <c r="H1433" s="25" t="str">
        <f t="shared" si="28"/>
        <v/>
      </c>
    </row>
    <row r="1434" spans="4:8">
      <c r="D1434" s="27" t="str">
        <f>IFERROR(VLOOKUP(A1434,テーブル11[],2,FALSE),"")</f>
        <v/>
      </c>
      <c r="E1434" s="25" t="str">
        <f>IFERROR(VLOOKUP($B1434,テーブル12[],2,FALSE),"")</f>
        <v/>
      </c>
      <c r="F1434" s="25" t="str">
        <f>IFERROR(VLOOKUP($B1434,テーブル12[],3,FALSE),"")</f>
        <v/>
      </c>
      <c r="G1434" s="31" t="str">
        <f>IFERROR(VLOOKUP($B1434,テーブル12[],4,FALSE),"")</f>
        <v/>
      </c>
      <c r="H1434" s="25" t="str">
        <f t="shared" si="28"/>
        <v/>
      </c>
    </row>
    <row r="1435" spans="4:8">
      <c r="D1435" s="27" t="str">
        <f>IFERROR(VLOOKUP(A1435,テーブル11[],2,FALSE),"")</f>
        <v/>
      </c>
      <c r="E1435" s="25" t="str">
        <f>IFERROR(VLOOKUP($B1435,テーブル12[],2,FALSE),"")</f>
        <v/>
      </c>
      <c r="F1435" s="25" t="str">
        <f>IFERROR(VLOOKUP($B1435,テーブル12[],3,FALSE),"")</f>
        <v/>
      </c>
      <c r="G1435" s="31" t="str">
        <f>IFERROR(VLOOKUP($B1435,テーブル12[],4,FALSE),"")</f>
        <v/>
      </c>
      <c r="H1435" s="25" t="str">
        <f t="shared" si="28"/>
        <v/>
      </c>
    </row>
    <row r="1436" spans="4:8">
      <c r="D1436" s="27" t="str">
        <f>IFERROR(VLOOKUP(A1436,テーブル11[],2,FALSE),"")</f>
        <v/>
      </c>
      <c r="E1436" s="25" t="str">
        <f>IFERROR(VLOOKUP($B1436,テーブル12[],2,FALSE),"")</f>
        <v/>
      </c>
      <c r="F1436" s="25" t="str">
        <f>IFERROR(VLOOKUP($B1436,テーブル12[],3,FALSE),"")</f>
        <v/>
      </c>
      <c r="G1436" s="31" t="str">
        <f>IFERROR(VLOOKUP($B1436,テーブル12[],4,FALSE),"")</f>
        <v/>
      </c>
      <c r="H1436" s="25" t="str">
        <f t="shared" si="28"/>
        <v/>
      </c>
    </row>
    <row r="1437" spans="4:8">
      <c r="D1437" s="27" t="str">
        <f>IFERROR(VLOOKUP(A1437,テーブル11[],2,FALSE),"")</f>
        <v/>
      </c>
      <c r="E1437" s="25" t="str">
        <f>IFERROR(VLOOKUP($B1437,テーブル12[],2,FALSE),"")</f>
        <v/>
      </c>
      <c r="F1437" s="25" t="str">
        <f>IFERROR(VLOOKUP($B1437,テーブル12[],3,FALSE),"")</f>
        <v/>
      </c>
      <c r="G1437" s="31" t="str">
        <f>IFERROR(VLOOKUP($B1437,テーブル12[],4,FALSE),"")</f>
        <v/>
      </c>
      <c r="H1437" s="25" t="str">
        <f t="shared" si="28"/>
        <v/>
      </c>
    </row>
    <row r="1438" spans="4:8">
      <c r="D1438" s="27" t="str">
        <f>IFERROR(VLOOKUP(A1438,テーブル11[],2,FALSE),"")</f>
        <v/>
      </c>
      <c r="E1438" s="25" t="str">
        <f>IFERROR(VLOOKUP($B1438,テーブル12[],2,FALSE),"")</f>
        <v/>
      </c>
      <c r="F1438" s="25" t="str">
        <f>IFERROR(VLOOKUP($B1438,テーブル12[],3,FALSE),"")</f>
        <v/>
      </c>
      <c r="G1438" s="31" t="str">
        <f>IFERROR(VLOOKUP($B1438,テーブル12[],4,FALSE),"")</f>
        <v/>
      </c>
      <c r="H1438" s="25" t="str">
        <f t="shared" si="28"/>
        <v/>
      </c>
    </row>
    <row r="1439" spans="4:8">
      <c r="D1439" s="27" t="str">
        <f>IFERROR(VLOOKUP(A1439,テーブル11[],2,FALSE),"")</f>
        <v/>
      </c>
      <c r="E1439" s="25" t="str">
        <f>IFERROR(VLOOKUP($B1439,テーブル12[],2,FALSE),"")</f>
        <v/>
      </c>
      <c r="F1439" s="25" t="str">
        <f>IFERROR(VLOOKUP($B1439,テーブル12[],3,FALSE),"")</f>
        <v/>
      </c>
      <c r="G1439" s="31" t="str">
        <f>IFERROR(VLOOKUP($B1439,テーブル12[],4,FALSE),"")</f>
        <v/>
      </c>
      <c r="H1439" s="25" t="str">
        <f t="shared" si="28"/>
        <v/>
      </c>
    </row>
    <row r="1440" spans="4:8">
      <c r="D1440" s="27" t="str">
        <f>IFERROR(VLOOKUP(A1440,テーブル11[],2,FALSE),"")</f>
        <v/>
      </c>
      <c r="E1440" s="25" t="str">
        <f>IFERROR(VLOOKUP($B1440,テーブル12[],2,FALSE),"")</f>
        <v/>
      </c>
      <c r="F1440" s="25" t="str">
        <f>IFERROR(VLOOKUP($B1440,テーブル12[],3,FALSE),"")</f>
        <v/>
      </c>
      <c r="G1440" s="31" t="str">
        <f>IFERROR(VLOOKUP($B1440,テーブル12[],4,FALSE),"")</f>
        <v/>
      </c>
      <c r="H1440" s="25" t="str">
        <f t="shared" si="28"/>
        <v/>
      </c>
    </row>
    <row r="1441" spans="4:8">
      <c r="D1441" s="27" t="str">
        <f>IFERROR(VLOOKUP(A1441,テーブル11[],2,FALSE),"")</f>
        <v/>
      </c>
      <c r="E1441" s="25" t="str">
        <f>IFERROR(VLOOKUP($B1441,テーブル12[],2,FALSE),"")</f>
        <v/>
      </c>
      <c r="F1441" s="25" t="str">
        <f>IFERROR(VLOOKUP($B1441,テーブル12[],3,FALSE),"")</f>
        <v/>
      </c>
      <c r="G1441" s="31" t="str">
        <f>IFERROR(VLOOKUP($B1441,テーブル12[],4,FALSE),"")</f>
        <v/>
      </c>
      <c r="H1441" s="25" t="str">
        <f t="shared" si="28"/>
        <v/>
      </c>
    </row>
    <row r="1442" spans="4:8">
      <c r="D1442" s="27" t="str">
        <f>IFERROR(VLOOKUP(A1442,テーブル11[],2,FALSE),"")</f>
        <v/>
      </c>
      <c r="E1442" s="25" t="str">
        <f>IFERROR(VLOOKUP($B1442,テーブル12[],2,FALSE),"")</f>
        <v/>
      </c>
      <c r="F1442" s="25" t="str">
        <f>IFERROR(VLOOKUP($B1442,テーブル12[],3,FALSE),"")</f>
        <v/>
      </c>
      <c r="G1442" s="31" t="str">
        <f>IFERROR(VLOOKUP($B1442,テーブル12[],4,FALSE),"")</f>
        <v/>
      </c>
      <c r="H1442" s="25" t="str">
        <f t="shared" si="28"/>
        <v/>
      </c>
    </row>
    <row r="1443" spans="4:8">
      <c r="D1443" s="27" t="str">
        <f>IFERROR(VLOOKUP(A1443,テーブル11[],2,FALSE),"")</f>
        <v/>
      </c>
      <c r="E1443" s="25" t="str">
        <f>IFERROR(VLOOKUP($B1443,テーブル12[],2,FALSE),"")</f>
        <v/>
      </c>
      <c r="F1443" s="25" t="str">
        <f>IFERROR(VLOOKUP($B1443,テーブル12[],3,FALSE),"")</f>
        <v/>
      </c>
      <c r="G1443" s="31" t="str">
        <f>IFERROR(VLOOKUP($B1443,テーブル12[],4,FALSE),"")</f>
        <v/>
      </c>
      <c r="H1443" s="25" t="str">
        <f t="shared" si="28"/>
        <v/>
      </c>
    </row>
    <row r="1444" spans="4:8">
      <c r="D1444" s="27" t="str">
        <f>IFERROR(VLOOKUP(A1444,テーブル11[],2,FALSE),"")</f>
        <v/>
      </c>
      <c r="E1444" s="25" t="str">
        <f>IFERROR(VLOOKUP($B1444,テーブル12[],2,FALSE),"")</f>
        <v/>
      </c>
      <c r="F1444" s="25" t="str">
        <f>IFERROR(VLOOKUP($B1444,テーブル12[],3,FALSE),"")</f>
        <v/>
      </c>
      <c r="G1444" s="31" t="str">
        <f>IFERROR(VLOOKUP($B1444,テーブル12[],4,FALSE),"")</f>
        <v/>
      </c>
      <c r="H1444" s="25" t="str">
        <f t="shared" si="28"/>
        <v/>
      </c>
    </row>
    <row r="1445" spans="4:8">
      <c r="D1445" s="27" t="str">
        <f>IFERROR(VLOOKUP(A1445,テーブル11[],2,FALSE),"")</f>
        <v/>
      </c>
      <c r="E1445" s="25" t="str">
        <f>IFERROR(VLOOKUP($B1445,テーブル12[],2,FALSE),"")</f>
        <v/>
      </c>
      <c r="F1445" s="25" t="str">
        <f>IFERROR(VLOOKUP($B1445,テーブル12[],3,FALSE),"")</f>
        <v/>
      </c>
      <c r="G1445" s="31" t="str">
        <f>IFERROR(VLOOKUP($B1445,テーブル12[],4,FALSE),"")</f>
        <v/>
      </c>
      <c r="H1445" s="25" t="str">
        <f t="shared" si="28"/>
        <v/>
      </c>
    </row>
    <row r="1446" spans="4:8">
      <c r="D1446" s="27" t="str">
        <f>IFERROR(VLOOKUP(A1446,テーブル11[],2,FALSE),"")</f>
        <v/>
      </c>
      <c r="E1446" s="25" t="str">
        <f>IFERROR(VLOOKUP($B1446,テーブル12[],2,FALSE),"")</f>
        <v/>
      </c>
      <c r="F1446" s="25" t="str">
        <f>IFERROR(VLOOKUP($B1446,テーブル12[],3,FALSE),"")</f>
        <v/>
      </c>
      <c r="G1446" s="31" t="str">
        <f>IFERROR(VLOOKUP($B1446,テーブル12[],4,FALSE),"")</f>
        <v/>
      </c>
      <c r="H1446" s="25" t="str">
        <f t="shared" si="28"/>
        <v/>
      </c>
    </row>
    <row r="1447" spans="4:8">
      <c r="D1447" s="27" t="str">
        <f>IFERROR(VLOOKUP(A1447,テーブル11[],2,FALSE),"")</f>
        <v/>
      </c>
      <c r="E1447" s="25" t="str">
        <f>IFERROR(VLOOKUP($B1447,テーブル12[],2,FALSE),"")</f>
        <v/>
      </c>
      <c r="F1447" s="25" t="str">
        <f>IFERROR(VLOOKUP($B1447,テーブル12[],3,FALSE),"")</f>
        <v/>
      </c>
      <c r="G1447" s="31" t="str">
        <f>IFERROR(VLOOKUP($B1447,テーブル12[],4,FALSE),"")</f>
        <v/>
      </c>
      <c r="H1447" s="25" t="str">
        <f t="shared" si="28"/>
        <v/>
      </c>
    </row>
    <row r="1448" spans="4:8">
      <c r="D1448" s="27" t="str">
        <f>IFERROR(VLOOKUP(A1448,テーブル11[],2,FALSE),"")</f>
        <v/>
      </c>
      <c r="E1448" s="25" t="str">
        <f>IFERROR(VLOOKUP($B1448,テーブル12[],2,FALSE),"")</f>
        <v/>
      </c>
      <c r="F1448" s="25" t="str">
        <f>IFERROR(VLOOKUP($B1448,テーブル12[],3,FALSE),"")</f>
        <v/>
      </c>
      <c r="G1448" s="31" t="str">
        <f>IFERROR(VLOOKUP($B1448,テーブル12[],4,FALSE),"")</f>
        <v/>
      </c>
      <c r="H1448" s="25" t="str">
        <f t="shared" si="28"/>
        <v/>
      </c>
    </row>
    <row r="1449" spans="4:8">
      <c r="D1449" s="27" t="str">
        <f>IFERROR(VLOOKUP(A1449,テーブル11[],2,FALSE),"")</f>
        <v/>
      </c>
      <c r="E1449" s="25" t="str">
        <f>IFERROR(VLOOKUP($B1449,テーブル12[],2,FALSE),"")</f>
        <v/>
      </c>
      <c r="F1449" s="25" t="str">
        <f>IFERROR(VLOOKUP($B1449,テーブル12[],3,FALSE),"")</f>
        <v/>
      </c>
      <c r="G1449" s="31" t="str">
        <f>IFERROR(VLOOKUP($B1449,テーブル12[],4,FALSE),"")</f>
        <v/>
      </c>
      <c r="H1449" s="25" t="str">
        <f t="shared" si="28"/>
        <v/>
      </c>
    </row>
    <row r="1450" spans="4:8">
      <c r="D1450" s="27" t="str">
        <f>IFERROR(VLOOKUP(A1450,テーブル11[],2,FALSE),"")</f>
        <v/>
      </c>
      <c r="E1450" s="25" t="str">
        <f>IFERROR(VLOOKUP($B1450,テーブル12[],2,FALSE),"")</f>
        <v/>
      </c>
      <c r="F1450" s="25" t="str">
        <f>IFERROR(VLOOKUP($B1450,テーブル12[],3,FALSE),"")</f>
        <v/>
      </c>
      <c r="G1450" s="31" t="str">
        <f>IFERROR(VLOOKUP($B1450,テーブル12[],4,FALSE),"")</f>
        <v/>
      </c>
      <c r="H1450" s="25" t="str">
        <f t="shared" si="28"/>
        <v/>
      </c>
    </row>
    <row r="1451" spans="4:8">
      <c r="D1451" s="27" t="str">
        <f>IFERROR(VLOOKUP(A1451,テーブル11[],2,FALSE),"")</f>
        <v/>
      </c>
      <c r="E1451" s="25" t="str">
        <f>IFERROR(VLOOKUP($B1451,テーブル12[],2,FALSE),"")</f>
        <v/>
      </c>
      <c r="F1451" s="25" t="str">
        <f>IFERROR(VLOOKUP($B1451,テーブル12[],3,FALSE),"")</f>
        <v/>
      </c>
      <c r="G1451" s="31" t="str">
        <f>IFERROR(VLOOKUP($B1451,テーブル12[],4,FALSE),"")</f>
        <v/>
      </c>
      <c r="H1451" s="25" t="str">
        <f t="shared" si="28"/>
        <v/>
      </c>
    </row>
    <row r="1452" spans="4:8">
      <c r="D1452" s="27" t="str">
        <f>IFERROR(VLOOKUP(A1452,テーブル11[],2,FALSE),"")</f>
        <v/>
      </c>
      <c r="E1452" s="25" t="str">
        <f>IFERROR(VLOOKUP($B1452,テーブル12[],2,FALSE),"")</f>
        <v/>
      </c>
      <c r="F1452" s="25" t="str">
        <f>IFERROR(VLOOKUP($B1452,テーブル12[],3,FALSE),"")</f>
        <v/>
      </c>
      <c r="G1452" s="31" t="str">
        <f>IFERROR(VLOOKUP($B1452,テーブル12[],4,FALSE),"")</f>
        <v/>
      </c>
      <c r="H1452" s="25" t="str">
        <f t="shared" si="28"/>
        <v/>
      </c>
    </row>
    <row r="1453" spans="4:8">
      <c r="D1453" s="27" t="str">
        <f>IFERROR(VLOOKUP(A1453,テーブル11[],2,FALSE),"")</f>
        <v/>
      </c>
      <c r="E1453" s="25" t="str">
        <f>IFERROR(VLOOKUP($B1453,テーブル12[],2,FALSE),"")</f>
        <v/>
      </c>
      <c r="F1453" s="25" t="str">
        <f>IFERROR(VLOOKUP($B1453,テーブル12[],3,FALSE),"")</f>
        <v/>
      </c>
      <c r="G1453" s="31" t="str">
        <f>IFERROR(VLOOKUP($B1453,テーブル12[],4,FALSE),"")</f>
        <v/>
      </c>
      <c r="H1453" s="25" t="str">
        <f t="shared" si="28"/>
        <v/>
      </c>
    </row>
    <row r="1454" spans="4:8">
      <c r="D1454" s="27" t="str">
        <f>IFERROR(VLOOKUP(A1454,テーブル11[],2,FALSE),"")</f>
        <v/>
      </c>
      <c r="E1454" s="25" t="str">
        <f>IFERROR(VLOOKUP($B1454,テーブル12[],2,FALSE),"")</f>
        <v/>
      </c>
      <c r="F1454" s="25" t="str">
        <f>IFERROR(VLOOKUP($B1454,テーブル12[],3,FALSE),"")</f>
        <v/>
      </c>
      <c r="G1454" s="31" t="str">
        <f>IFERROR(VLOOKUP($B1454,テーブル12[],4,FALSE),"")</f>
        <v/>
      </c>
      <c r="H1454" s="25" t="str">
        <f t="shared" si="28"/>
        <v/>
      </c>
    </row>
    <row r="1455" spans="4:8">
      <c r="D1455" s="27" t="str">
        <f>IFERROR(VLOOKUP(A1455,テーブル11[],2,FALSE),"")</f>
        <v/>
      </c>
      <c r="E1455" s="25" t="str">
        <f>IFERROR(VLOOKUP($B1455,テーブル12[],2,FALSE),"")</f>
        <v/>
      </c>
      <c r="F1455" s="25" t="str">
        <f>IFERROR(VLOOKUP($B1455,テーブル12[],3,FALSE),"")</f>
        <v/>
      </c>
      <c r="G1455" s="31" t="str">
        <f>IFERROR(VLOOKUP($B1455,テーブル12[],4,FALSE),"")</f>
        <v/>
      </c>
      <c r="H1455" s="25" t="str">
        <f t="shared" si="28"/>
        <v/>
      </c>
    </row>
    <row r="1456" spans="4:8">
      <c r="D1456" s="27" t="str">
        <f>IFERROR(VLOOKUP(A1456,テーブル11[],2,FALSE),"")</f>
        <v/>
      </c>
      <c r="E1456" s="25" t="str">
        <f>IFERROR(VLOOKUP($B1456,テーブル12[],2,FALSE),"")</f>
        <v/>
      </c>
      <c r="F1456" s="25" t="str">
        <f>IFERROR(VLOOKUP($B1456,テーブル12[],3,FALSE),"")</f>
        <v/>
      </c>
      <c r="G1456" s="31" t="str">
        <f>IFERROR(VLOOKUP($B1456,テーブル12[],4,FALSE),"")</f>
        <v/>
      </c>
      <c r="H1456" s="25" t="str">
        <f t="shared" si="28"/>
        <v/>
      </c>
    </row>
    <row r="1457" spans="4:8">
      <c r="D1457" s="27" t="str">
        <f>IFERROR(VLOOKUP(A1457,テーブル11[],2,FALSE),"")</f>
        <v/>
      </c>
      <c r="E1457" s="25" t="str">
        <f>IFERROR(VLOOKUP($B1457,テーブル12[],2,FALSE),"")</f>
        <v/>
      </c>
      <c r="F1457" s="25" t="str">
        <f>IFERROR(VLOOKUP($B1457,テーブル12[],3,FALSE),"")</f>
        <v/>
      </c>
      <c r="G1457" s="31" t="str">
        <f>IFERROR(VLOOKUP($B1457,テーブル12[],4,FALSE),"")</f>
        <v/>
      </c>
      <c r="H1457" s="25" t="str">
        <f t="shared" si="28"/>
        <v/>
      </c>
    </row>
    <row r="1458" spans="4:8">
      <c r="D1458" s="27" t="str">
        <f>IFERROR(VLOOKUP(A1458,テーブル11[],2,FALSE),"")</f>
        <v/>
      </c>
      <c r="E1458" s="25" t="str">
        <f>IFERROR(VLOOKUP($B1458,テーブル12[],2,FALSE),"")</f>
        <v/>
      </c>
      <c r="F1458" s="25" t="str">
        <f>IFERROR(VLOOKUP($B1458,テーブル12[],3,FALSE),"")</f>
        <v/>
      </c>
      <c r="G1458" s="31" t="str">
        <f>IFERROR(VLOOKUP($B1458,テーブル12[],4,FALSE),"")</f>
        <v/>
      </c>
      <c r="H1458" s="25" t="str">
        <f t="shared" si="28"/>
        <v/>
      </c>
    </row>
    <row r="1459" spans="4:8">
      <c r="D1459" s="27" t="str">
        <f>IFERROR(VLOOKUP(A1459,テーブル11[],2,FALSE),"")</f>
        <v/>
      </c>
      <c r="E1459" s="25" t="str">
        <f>IFERROR(VLOOKUP($B1459,テーブル12[],2,FALSE),"")</f>
        <v/>
      </c>
      <c r="F1459" s="25" t="str">
        <f>IFERROR(VLOOKUP($B1459,テーブル12[],3,FALSE),"")</f>
        <v/>
      </c>
      <c r="G1459" s="31" t="str">
        <f>IFERROR(VLOOKUP($B1459,テーブル12[],4,FALSE),"")</f>
        <v/>
      </c>
      <c r="H1459" s="25" t="str">
        <f t="shared" si="28"/>
        <v/>
      </c>
    </row>
    <row r="1460" spans="4:8">
      <c r="D1460" s="27" t="str">
        <f>IFERROR(VLOOKUP(A1460,テーブル11[],2,FALSE),"")</f>
        <v/>
      </c>
      <c r="E1460" s="25" t="str">
        <f>IFERROR(VLOOKUP($B1460,テーブル12[],2,FALSE),"")</f>
        <v/>
      </c>
      <c r="F1460" s="25" t="str">
        <f>IFERROR(VLOOKUP($B1460,テーブル12[],3,FALSE),"")</f>
        <v/>
      </c>
      <c r="G1460" s="31" t="str">
        <f>IFERROR(VLOOKUP($B1460,テーブル12[],4,FALSE),"")</f>
        <v/>
      </c>
      <c r="H1460" s="25" t="str">
        <f t="shared" si="28"/>
        <v/>
      </c>
    </row>
    <row r="1461" spans="4:8">
      <c r="D1461" s="27" t="str">
        <f>IFERROR(VLOOKUP(A1461,テーブル11[],2,FALSE),"")</f>
        <v/>
      </c>
      <c r="E1461" s="25" t="str">
        <f>IFERROR(VLOOKUP($B1461,テーブル12[],2,FALSE),"")</f>
        <v/>
      </c>
      <c r="F1461" s="25" t="str">
        <f>IFERROR(VLOOKUP($B1461,テーブル12[],3,FALSE),"")</f>
        <v/>
      </c>
      <c r="G1461" s="31" t="str">
        <f>IFERROR(VLOOKUP($B1461,テーブル12[],4,FALSE),"")</f>
        <v/>
      </c>
      <c r="H1461" s="25" t="str">
        <f t="shared" si="28"/>
        <v/>
      </c>
    </row>
    <row r="1462" spans="4:8">
      <c r="D1462" s="27" t="str">
        <f>IFERROR(VLOOKUP(A1462,テーブル11[],2,FALSE),"")</f>
        <v/>
      </c>
      <c r="E1462" s="25" t="str">
        <f>IFERROR(VLOOKUP($B1462,テーブル12[],2,FALSE),"")</f>
        <v/>
      </c>
      <c r="F1462" s="25" t="str">
        <f>IFERROR(VLOOKUP($B1462,テーブル12[],3,FALSE),"")</f>
        <v/>
      </c>
      <c r="G1462" s="31" t="str">
        <f>IFERROR(VLOOKUP($B1462,テーブル12[],4,FALSE),"")</f>
        <v/>
      </c>
      <c r="H1462" s="25" t="str">
        <f t="shared" si="28"/>
        <v/>
      </c>
    </row>
    <row r="1463" spans="4:8">
      <c r="D1463" s="27" t="str">
        <f>IFERROR(VLOOKUP(A1463,テーブル11[],2,FALSE),"")</f>
        <v/>
      </c>
      <c r="E1463" s="25" t="str">
        <f>IFERROR(VLOOKUP($B1463,テーブル12[],2,FALSE),"")</f>
        <v/>
      </c>
      <c r="F1463" s="25" t="str">
        <f>IFERROR(VLOOKUP($B1463,テーブル12[],3,FALSE),"")</f>
        <v/>
      </c>
      <c r="G1463" s="31" t="str">
        <f>IFERROR(VLOOKUP($B1463,テーブル12[],4,FALSE),"")</f>
        <v/>
      </c>
      <c r="H1463" s="25" t="str">
        <f t="shared" si="28"/>
        <v/>
      </c>
    </row>
    <row r="1464" spans="4:8">
      <c r="D1464" s="27" t="str">
        <f>IFERROR(VLOOKUP(A1464,テーブル11[],2,FALSE),"")</f>
        <v/>
      </c>
      <c r="E1464" s="25" t="str">
        <f>IFERROR(VLOOKUP($B1464,テーブル12[],2,FALSE),"")</f>
        <v/>
      </c>
      <c r="F1464" s="25" t="str">
        <f>IFERROR(VLOOKUP($B1464,テーブル12[],3,FALSE),"")</f>
        <v/>
      </c>
      <c r="G1464" s="31" t="str">
        <f>IFERROR(VLOOKUP($B1464,テーブル12[],4,FALSE),"")</f>
        <v/>
      </c>
      <c r="H1464" s="25" t="str">
        <f t="shared" si="28"/>
        <v/>
      </c>
    </row>
    <row r="1465" spans="4:8">
      <c r="D1465" s="27" t="str">
        <f>IFERROR(VLOOKUP(A1465,テーブル11[],2,FALSE),"")</f>
        <v/>
      </c>
      <c r="E1465" s="25" t="str">
        <f>IFERROR(VLOOKUP($B1465,テーブル12[],2,FALSE),"")</f>
        <v/>
      </c>
      <c r="F1465" s="25" t="str">
        <f>IFERROR(VLOOKUP($B1465,テーブル12[],3,FALSE),"")</f>
        <v/>
      </c>
      <c r="G1465" s="31" t="str">
        <f>IFERROR(VLOOKUP($B1465,テーブル12[],4,FALSE),"")</f>
        <v/>
      </c>
      <c r="H1465" s="25" t="str">
        <f t="shared" si="28"/>
        <v/>
      </c>
    </row>
    <row r="1466" spans="4:8">
      <c r="D1466" s="27" t="str">
        <f>IFERROR(VLOOKUP(A1466,テーブル11[],2,FALSE),"")</f>
        <v/>
      </c>
      <c r="E1466" s="25" t="str">
        <f>IFERROR(VLOOKUP($B1466,テーブル12[],2,FALSE),"")</f>
        <v/>
      </c>
      <c r="F1466" s="25" t="str">
        <f>IFERROR(VLOOKUP($B1466,テーブル12[],3,FALSE),"")</f>
        <v/>
      </c>
      <c r="G1466" s="31" t="str">
        <f>IFERROR(VLOOKUP($B1466,テーブル12[],4,FALSE),"")</f>
        <v/>
      </c>
      <c r="H1466" s="25" t="str">
        <f t="shared" si="28"/>
        <v/>
      </c>
    </row>
    <row r="1467" spans="4:8">
      <c r="D1467" s="27" t="str">
        <f>IFERROR(VLOOKUP(A1467,テーブル11[],2,FALSE),"")</f>
        <v/>
      </c>
      <c r="E1467" s="25" t="str">
        <f>IFERROR(VLOOKUP($B1467,テーブル12[],2,FALSE),"")</f>
        <v/>
      </c>
      <c r="F1467" s="25" t="str">
        <f>IFERROR(VLOOKUP($B1467,テーブル12[],3,FALSE),"")</f>
        <v/>
      </c>
      <c r="G1467" s="31" t="str">
        <f>IFERROR(VLOOKUP($B1467,テーブル12[],4,FALSE),"")</f>
        <v/>
      </c>
      <c r="H1467" s="25" t="str">
        <f t="shared" si="28"/>
        <v/>
      </c>
    </row>
    <row r="1468" spans="4:8">
      <c r="D1468" s="27" t="str">
        <f>IFERROR(VLOOKUP(A1468,テーブル11[],2,FALSE),"")</f>
        <v/>
      </c>
      <c r="E1468" s="25" t="str">
        <f>IFERROR(VLOOKUP($B1468,テーブル12[],2,FALSE),"")</f>
        <v/>
      </c>
      <c r="F1468" s="25" t="str">
        <f>IFERROR(VLOOKUP($B1468,テーブル12[],3,FALSE),"")</f>
        <v/>
      </c>
      <c r="G1468" s="31" t="str">
        <f>IFERROR(VLOOKUP($B1468,テーブル12[],4,FALSE),"")</f>
        <v/>
      </c>
      <c r="H1468" s="25" t="str">
        <f t="shared" si="28"/>
        <v/>
      </c>
    </row>
    <row r="1469" spans="4:8">
      <c r="D1469" s="27" t="str">
        <f>IFERROR(VLOOKUP(A1469,テーブル11[],2,FALSE),"")</f>
        <v/>
      </c>
      <c r="E1469" s="25" t="str">
        <f>IFERROR(VLOOKUP($B1469,テーブル12[],2,FALSE),"")</f>
        <v/>
      </c>
      <c r="F1469" s="25" t="str">
        <f>IFERROR(VLOOKUP($B1469,テーブル12[],3,FALSE),"")</f>
        <v/>
      </c>
      <c r="G1469" s="31" t="str">
        <f>IFERROR(VLOOKUP($B1469,テーブル12[],4,FALSE),"")</f>
        <v/>
      </c>
      <c r="H1469" s="25" t="str">
        <f t="shared" si="28"/>
        <v/>
      </c>
    </row>
    <row r="1470" spans="4:8">
      <c r="D1470" s="27" t="str">
        <f>IFERROR(VLOOKUP(A1470,テーブル11[],2,FALSE),"")</f>
        <v/>
      </c>
      <c r="E1470" s="25" t="str">
        <f>IFERROR(VLOOKUP($B1470,テーブル12[],2,FALSE),"")</f>
        <v/>
      </c>
      <c r="F1470" s="25" t="str">
        <f>IFERROR(VLOOKUP($B1470,テーブル12[],3,FALSE),"")</f>
        <v/>
      </c>
      <c r="G1470" s="31" t="str">
        <f>IFERROR(VLOOKUP($B1470,テーブル12[],4,FALSE),"")</f>
        <v/>
      </c>
      <c r="H1470" s="25" t="str">
        <f t="shared" si="28"/>
        <v/>
      </c>
    </row>
    <row r="1471" spans="4:8">
      <c r="D1471" s="27" t="str">
        <f>IFERROR(VLOOKUP(A1471,テーブル11[],2,FALSE),"")</f>
        <v/>
      </c>
      <c r="E1471" s="25" t="str">
        <f>IFERROR(VLOOKUP($B1471,テーブル12[],2,FALSE),"")</f>
        <v/>
      </c>
      <c r="F1471" s="25" t="str">
        <f>IFERROR(VLOOKUP($B1471,テーブル12[],3,FALSE),"")</f>
        <v/>
      </c>
      <c r="G1471" s="31" t="str">
        <f>IFERROR(VLOOKUP($B1471,テーブル12[],4,FALSE),"")</f>
        <v/>
      </c>
      <c r="H1471" s="25" t="str">
        <f t="shared" si="28"/>
        <v/>
      </c>
    </row>
    <row r="1472" spans="4:8">
      <c r="D1472" s="27" t="str">
        <f>IFERROR(VLOOKUP(A1472,テーブル11[],2,FALSE),"")</f>
        <v/>
      </c>
      <c r="E1472" s="25" t="str">
        <f>IFERROR(VLOOKUP($B1472,テーブル12[],2,FALSE),"")</f>
        <v/>
      </c>
      <c r="F1472" s="25" t="str">
        <f>IFERROR(VLOOKUP($B1472,テーブル12[],3,FALSE),"")</f>
        <v/>
      </c>
      <c r="G1472" s="31" t="str">
        <f>IFERROR(VLOOKUP($B1472,テーブル12[],4,FALSE),"")</f>
        <v/>
      </c>
      <c r="H1472" s="25" t="str">
        <f t="shared" si="28"/>
        <v/>
      </c>
    </row>
    <row r="1473" spans="4:8">
      <c r="D1473" s="27" t="str">
        <f>IFERROR(VLOOKUP(A1473,テーブル11[],2,FALSE),"")</f>
        <v/>
      </c>
      <c r="E1473" s="25" t="str">
        <f>IFERROR(VLOOKUP($B1473,テーブル12[],2,FALSE),"")</f>
        <v/>
      </c>
      <c r="F1473" s="25" t="str">
        <f>IFERROR(VLOOKUP($B1473,テーブル12[],3,FALSE),"")</f>
        <v/>
      </c>
      <c r="G1473" s="31" t="str">
        <f>IFERROR(VLOOKUP($B1473,テーブル12[],4,FALSE),"")</f>
        <v/>
      </c>
      <c r="H1473" s="25" t="str">
        <f t="shared" si="28"/>
        <v/>
      </c>
    </row>
    <row r="1474" spans="4:8">
      <c r="D1474" s="27" t="str">
        <f>IFERROR(VLOOKUP(A1474,テーブル11[],2,FALSE),"")</f>
        <v/>
      </c>
      <c r="E1474" s="25" t="str">
        <f>IFERROR(VLOOKUP($B1474,テーブル12[],2,FALSE),"")</f>
        <v/>
      </c>
      <c r="F1474" s="25" t="str">
        <f>IFERROR(VLOOKUP($B1474,テーブル12[],3,FALSE),"")</f>
        <v/>
      </c>
      <c r="G1474" s="31" t="str">
        <f>IFERROR(VLOOKUP($B1474,テーブル12[],4,FALSE),"")</f>
        <v/>
      </c>
      <c r="H1474" s="25" t="str">
        <f t="shared" ref="H1474:H1537" si="29">IF(C1474=0,"",C1474)</f>
        <v/>
      </c>
    </row>
    <row r="1475" spans="4:8">
      <c r="D1475" s="27" t="str">
        <f>IFERROR(VLOOKUP(A1475,テーブル11[],2,FALSE),"")</f>
        <v/>
      </c>
      <c r="E1475" s="25" t="str">
        <f>IFERROR(VLOOKUP($B1475,テーブル12[],2,FALSE),"")</f>
        <v/>
      </c>
      <c r="F1475" s="25" t="str">
        <f>IFERROR(VLOOKUP($B1475,テーブル12[],3,FALSE),"")</f>
        <v/>
      </c>
      <c r="G1475" s="31" t="str">
        <f>IFERROR(VLOOKUP($B1475,テーブル12[],4,FALSE),"")</f>
        <v/>
      </c>
      <c r="H1475" s="25" t="str">
        <f t="shared" si="29"/>
        <v/>
      </c>
    </row>
    <row r="1476" spans="4:8">
      <c r="D1476" s="27" t="str">
        <f>IFERROR(VLOOKUP(A1476,テーブル11[],2,FALSE),"")</f>
        <v/>
      </c>
      <c r="E1476" s="25" t="str">
        <f>IFERROR(VLOOKUP($B1476,テーブル12[],2,FALSE),"")</f>
        <v/>
      </c>
      <c r="F1476" s="25" t="str">
        <f>IFERROR(VLOOKUP($B1476,テーブル12[],3,FALSE),"")</f>
        <v/>
      </c>
      <c r="G1476" s="31" t="str">
        <f>IFERROR(VLOOKUP($B1476,テーブル12[],4,FALSE),"")</f>
        <v/>
      </c>
      <c r="H1476" s="25" t="str">
        <f t="shared" si="29"/>
        <v/>
      </c>
    </row>
    <row r="1477" spans="4:8">
      <c r="D1477" s="27" t="str">
        <f>IFERROR(VLOOKUP(A1477,テーブル11[],2,FALSE),"")</f>
        <v/>
      </c>
      <c r="E1477" s="25" t="str">
        <f>IFERROR(VLOOKUP($B1477,テーブル12[],2,FALSE),"")</f>
        <v/>
      </c>
      <c r="F1477" s="25" t="str">
        <f>IFERROR(VLOOKUP($B1477,テーブル12[],3,FALSE),"")</f>
        <v/>
      </c>
      <c r="G1477" s="31" t="str">
        <f>IFERROR(VLOOKUP($B1477,テーブル12[],4,FALSE),"")</f>
        <v/>
      </c>
      <c r="H1477" s="25" t="str">
        <f t="shared" si="29"/>
        <v/>
      </c>
    </row>
    <row r="1478" spans="4:8">
      <c r="D1478" s="27" t="str">
        <f>IFERROR(VLOOKUP(A1478,テーブル11[],2,FALSE),"")</f>
        <v/>
      </c>
      <c r="E1478" s="25" t="str">
        <f>IFERROR(VLOOKUP($B1478,テーブル12[],2,FALSE),"")</f>
        <v/>
      </c>
      <c r="F1478" s="25" t="str">
        <f>IFERROR(VLOOKUP($B1478,テーブル12[],3,FALSE),"")</f>
        <v/>
      </c>
      <c r="G1478" s="31" t="str">
        <f>IFERROR(VLOOKUP($B1478,テーブル12[],4,FALSE),"")</f>
        <v/>
      </c>
      <c r="H1478" s="25" t="str">
        <f t="shared" si="29"/>
        <v/>
      </c>
    </row>
    <row r="1479" spans="4:8">
      <c r="D1479" s="27" t="str">
        <f>IFERROR(VLOOKUP(A1479,テーブル11[],2,FALSE),"")</f>
        <v/>
      </c>
      <c r="E1479" s="25" t="str">
        <f>IFERROR(VLOOKUP($B1479,テーブル12[],2,FALSE),"")</f>
        <v/>
      </c>
      <c r="F1479" s="25" t="str">
        <f>IFERROR(VLOOKUP($B1479,テーブル12[],3,FALSE),"")</f>
        <v/>
      </c>
      <c r="G1479" s="31" t="str">
        <f>IFERROR(VLOOKUP($B1479,テーブル12[],4,FALSE),"")</f>
        <v/>
      </c>
      <c r="H1479" s="25" t="str">
        <f t="shared" si="29"/>
        <v/>
      </c>
    </row>
    <row r="1480" spans="4:8">
      <c r="D1480" s="27" t="str">
        <f>IFERROR(VLOOKUP(A1480,テーブル11[],2,FALSE),"")</f>
        <v/>
      </c>
      <c r="E1480" s="25" t="str">
        <f>IFERROR(VLOOKUP($B1480,テーブル12[],2,FALSE),"")</f>
        <v/>
      </c>
      <c r="F1480" s="25" t="str">
        <f>IFERROR(VLOOKUP($B1480,テーブル12[],3,FALSE),"")</f>
        <v/>
      </c>
      <c r="G1480" s="31" t="str">
        <f>IFERROR(VLOOKUP($B1480,テーブル12[],4,FALSE),"")</f>
        <v/>
      </c>
      <c r="H1480" s="25" t="str">
        <f t="shared" si="29"/>
        <v/>
      </c>
    </row>
    <row r="1481" spans="4:8">
      <c r="D1481" s="27" t="str">
        <f>IFERROR(VLOOKUP(A1481,テーブル11[],2,FALSE),"")</f>
        <v/>
      </c>
      <c r="E1481" s="25" t="str">
        <f>IFERROR(VLOOKUP($B1481,テーブル12[],2,FALSE),"")</f>
        <v/>
      </c>
      <c r="F1481" s="25" t="str">
        <f>IFERROR(VLOOKUP($B1481,テーブル12[],3,FALSE),"")</f>
        <v/>
      </c>
      <c r="G1481" s="31" t="str">
        <f>IFERROR(VLOOKUP($B1481,テーブル12[],4,FALSE),"")</f>
        <v/>
      </c>
      <c r="H1481" s="25" t="str">
        <f t="shared" si="29"/>
        <v/>
      </c>
    </row>
    <row r="1482" spans="4:8">
      <c r="D1482" s="27" t="str">
        <f>IFERROR(VLOOKUP(A1482,テーブル11[],2,FALSE),"")</f>
        <v/>
      </c>
      <c r="E1482" s="25" t="str">
        <f>IFERROR(VLOOKUP($B1482,テーブル12[],2,FALSE),"")</f>
        <v/>
      </c>
      <c r="F1482" s="25" t="str">
        <f>IFERROR(VLOOKUP($B1482,テーブル12[],3,FALSE),"")</f>
        <v/>
      </c>
      <c r="G1482" s="31" t="str">
        <f>IFERROR(VLOOKUP($B1482,テーブル12[],4,FALSE),"")</f>
        <v/>
      </c>
      <c r="H1482" s="25" t="str">
        <f t="shared" si="29"/>
        <v/>
      </c>
    </row>
    <row r="1483" spans="4:8">
      <c r="D1483" s="27" t="str">
        <f>IFERROR(VLOOKUP(A1483,テーブル11[],2,FALSE),"")</f>
        <v/>
      </c>
      <c r="E1483" s="25" t="str">
        <f>IFERROR(VLOOKUP($B1483,テーブル12[],2,FALSE),"")</f>
        <v/>
      </c>
      <c r="F1483" s="25" t="str">
        <f>IFERROR(VLOOKUP($B1483,テーブル12[],3,FALSE),"")</f>
        <v/>
      </c>
      <c r="G1483" s="31" t="str">
        <f>IFERROR(VLOOKUP($B1483,テーブル12[],4,FALSE),"")</f>
        <v/>
      </c>
      <c r="H1483" s="25" t="str">
        <f t="shared" si="29"/>
        <v/>
      </c>
    </row>
    <row r="1484" spans="4:8">
      <c r="D1484" s="27" t="str">
        <f>IFERROR(VLOOKUP(A1484,テーブル11[],2,FALSE),"")</f>
        <v/>
      </c>
      <c r="E1484" s="25" t="str">
        <f>IFERROR(VLOOKUP($B1484,テーブル12[],2,FALSE),"")</f>
        <v/>
      </c>
      <c r="F1484" s="25" t="str">
        <f>IFERROR(VLOOKUP($B1484,テーブル12[],3,FALSE),"")</f>
        <v/>
      </c>
      <c r="G1484" s="31" t="str">
        <f>IFERROR(VLOOKUP($B1484,テーブル12[],4,FALSE),"")</f>
        <v/>
      </c>
      <c r="H1484" s="25" t="str">
        <f t="shared" si="29"/>
        <v/>
      </c>
    </row>
    <row r="1485" spans="4:8">
      <c r="D1485" s="27" t="str">
        <f>IFERROR(VLOOKUP(A1485,テーブル11[],2,FALSE),"")</f>
        <v/>
      </c>
      <c r="E1485" s="25" t="str">
        <f>IFERROR(VLOOKUP($B1485,テーブル12[],2,FALSE),"")</f>
        <v/>
      </c>
      <c r="F1485" s="25" t="str">
        <f>IFERROR(VLOOKUP($B1485,テーブル12[],3,FALSE),"")</f>
        <v/>
      </c>
      <c r="G1485" s="31" t="str">
        <f>IFERROR(VLOOKUP($B1485,テーブル12[],4,FALSE),"")</f>
        <v/>
      </c>
      <c r="H1485" s="25" t="str">
        <f t="shared" si="29"/>
        <v/>
      </c>
    </row>
    <row r="1486" spans="4:8">
      <c r="D1486" s="27" t="str">
        <f>IFERROR(VLOOKUP(A1486,テーブル11[],2,FALSE),"")</f>
        <v/>
      </c>
      <c r="E1486" s="25" t="str">
        <f>IFERROR(VLOOKUP($B1486,テーブル12[],2,FALSE),"")</f>
        <v/>
      </c>
      <c r="F1486" s="25" t="str">
        <f>IFERROR(VLOOKUP($B1486,テーブル12[],3,FALSE),"")</f>
        <v/>
      </c>
      <c r="G1486" s="31" t="str">
        <f>IFERROR(VLOOKUP($B1486,テーブル12[],4,FALSE),"")</f>
        <v/>
      </c>
      <c r="H1486" s="25" t="str">
        <f t="shared" si="29"/>
        <v/>
      </c>
    </row>
    <row r="1487" spans="4:8">
      <c r="D1487" s="27" t="str">
        <f>IFERROR(VLOOKUP(A1487,テーブル11[],2,FALSE),"")</f>
        <v/>
      </c>
      <c r="E1487" s="25" t="str">
        <f>IFERROR(VLOOKUP($B1487,テーブル12[],2,FALSE),"")</f>
        <v/>
      </c>
      <c r="F1487" s="25" t="str">
        <f>IFERROR(VLOOKUP($B1487,テーブル12[],3,FALSE),"")</f>
        <v/>
      </c>
      <c r="G1487" s="31" t="str">
        <f>IFERROR(VLOOKUP($B1487,テーブル12[],4,FALSE),"")</f>
        <v/>
      </c>
      <c r="H1487" s="25" t="str">
        <f t="shared" si="29"/>
        <v/>
      </c>
    </row>
    <row r="1488" spans="4:8">
      <c r="D1488" s="27" t="str">
        <f>IFERROR(VLOOKUP(A1488,テーブル11[],2,FALSE),"")</f>
        <v/>
      </c>
      <c r="E1488" s="25" t="str">
        <f>IFERROR(VLOOKUP($B1488,テーブル12[],2,FALSE),"")</f>
        <v/>
      </c>
      <c r="F1488" s="25" t="str">
        <f>IFERROR(VLOOKUP($B1488,テーブル12[],3,FALSE),"")</f>
        <v/>
      </c>
      <c r="G1488" s="31" t="str">
        <f>IFERROR(VLOOKUP($B1488,テーブル12[],4,FALSE),"")</f>
        <v/>
      </c>
      <c r="H1488" s="25" t="str">
        <f t="shared" si="29"/>
        <v/>
      </c>
    </row>
    <row r="1489" spans="4:8">
      <c r="D1489" s="27" t="str">
        <f>IFERROR(VLOOKUP(A1489,テーブル11[],2,FALSE),"")</f>
        <v/>
      </c>
      <c r="E1489" s="25" t="str">
        <f>IFERROR(VLOOKUP($B1489,テーブル12[],2,FALSE),"")</f>
        <v/>
      </c>
      <c r="F1489" s="25" t="str">
        <f>IFERROR(VLOOKUP($B1489,テーブル12[],3,FALSE),"")</f>
        <v/>
      </c>
      <c r="G1489" s="31" t="str">
        <f>IFERROR(VLOOKUP($B1489,テーブル12[],4,FALSE),"")</f>
        <v/>
      </c>
      <c r="H1489" s="25" t="str">
        <f t="shared" si="29"/>
        <v/>
      </c>
    </row>
    <row r="1490" spans="4:8">
      <c r="D1490" s="27" t="str">
        <f>IFERROR(VLOOKUP(A1490,テーブル11[],2,FALSE),"")</f>
        <v/>
      </c>
      <c r="E1490" s="25" t="str">
        <f>IFERROR(VLOOKUP($B1490,テーブル12[],2,FALSE),"")</f>
        <v/>
      </c>
      <c r="F1490" s="25" t="str">
        <f>IFERROR(VLOOKUP($B1490,テーブル12[],3,FALSE),"")</f>
        <v/>
      </c>
      <c r="G1490" s="31" t="str">
        <f>IFERROR(VLOOKUP($B1490,テーブル12[],4,FALSE),"")</f>
        <v/>
      </c>
      <c r="H1490" s="25" t="str">
        <f t="shared" si="29"/>
        <v/>
      </c>
    </row>
    <row r="1491" spans="4:8">
      <c r="D1491" s="27" t="str">
        <f>IFERROR(VLOOKUP(A1491,テーブル11[],2,FALSE),"")</f>
        <v/>
      </c>
      <c r="E1491" s="25" t="str">
        <f>IFERROR(VLOOKUP($B1491,テーブル12[],2,FALSE),"")</f>
        <v/>
      </c>
      <c r="F1491" s="25" t="str">
        <f>IFERROR(VLOOKUP($B1491,テーブル12[],3,FALSE),"")</f>
        <v/>
      </c>
      <c r="G1491" s="31" t="str">
        <f>IFERROR(VLOOKUP($B1491,テーブル12[],4,FALSE),"")</f>
        <v/>
      </c>
      <c r="H1491" s="25" t="str">
        <f t="shared" si="29"/>
        <v/>
      </c>
    </row>
    <row r="1492" spans="4:8">
      <c r="D1492" s="27" t="str">
        <f>IFERROR(VLOOKUP(A1492,テーブル11[],2,FALSE),"")</f>
        <v/>
      </c>
      <c r="E1492" s="25" t="str">
        <f>IFERROR(VLOOKUP($B1492,テーブル12[],2,FALSE),"")</f>
        <v/>
      </c>
      <c r="F1492" s="25" t="str">
        <f>IFERROR(VLOOKUP($B1492,テーブル12[],3,FALSE),"")</f>
        <v/>
      </c>
      <c r="G1492" s="31" t="str">
        <f>IFERROR(VLOOKUP($B1492,テーブル12[],4,FALSE),"")</f>
        <v/>
      </c>
      <c r="H1492" s="25" t="str">
        <f t="shared" si="29"/>
        <v/>
      </c>
    </row>
    <row r="1493" spans="4:8">
      <c r="D1493" s="27" t="str">
        <f>IFERROR(VLOOKUP(A1493,テーブル11[],2,FALSE),"")</f>
        <v/>
      </c>
      <c r="E1493" s="25" t="str">
        <f>IFERROR(VLOOKUP($B1493,テーブル12[],2,FALSE),"")</f>
        <v/>
      </c>
      <c r="F1493" s="25" t="str">
        <f>IFERROR(VLOOKUP($B1493,テーブル12[],3,FALSE),"")</f>
        <v/>
      </c>
      <c r="G1493" s="31" t="str">
        <f>IFERROR(VLOOKUP($B1493,テーブル12[],4,FALSE),"")</f>
        <v/>
      </c>
      <c r="H1493" s="25" t="str">
        <f t="shared" si="29"/>
        <v/>
      </c>
    </row>
    <row r="1494" spans="4:8">
      <c r="D1494" s="27" t="str">
        <f>IFERROR(VLOOKUP(A1494,テーブル11[],2,FALSE),"")</f>
        <v/>
      </c>
      <c r="E1494" s="25" t="str">
        <f>IFERROR(VLOOKUP($B1494,テーブル12[],2,FALSE),"")</f>
        <v/>
      </c>
      <c r="F1494" s="25" t="str">
        <f>IFERROR(VLOOKUP($B1494,テーブル12[],3,FALSE),"")</f>
        <v/>
      </c>
      <c r="G1494" s="31" t="str">
        <f>IFERROR(VLOOKUP($B1494,テーブル12[],4,FALSE),"")</f>
        <v/>
      </c>
      <c r="H1494" s="25" t="str">
        <f t="shared" si="29"/>
        <v/>
      </c>
    </row>
    <row r="1495" spans="4:8">
      <c r="D1495" s="27" t="str">
        <f>IFERROR(VLOOKUP(A1495,テーブル11[],2,FALSE),"")</f>
        <v/>
      </c>
      <c r="E1495" s="25" t="str">
        <f>IFERROR(VLOOKUP($B1495,テーブル12[],2,FALSE),"")</f>
        <v/>
      </c>
      <c r="F1495" s="25" t="str">
        <f>IFERROR(VLOOKUP($B1495,テーブル12[],3,FALSE),"")</f>
        <v/>
      </c>
      <c r="G1495" s="31" t="str">
        <f>IFERROR(VLOOKUP($B1495,テーブル12[],4,FALSE),"")</f>
        <v/>
      </c>
      <c r="H1495" s="25" t="str">
        <f t="shared" si="29"/>
        <v/>
      </c>
    </row>
    <row r="1496" spans="4:8">
      <c r="D1496" s="27" t="str">
        <f>IFERROR(VLOOKUP(A1496,テーブル11[],2,FALSE),"")</f>
        <v/>
      </c>
      <c r="E1496" s="25" t="str">
        <f>IFERROR(VLOOKUP($B1496,テーブル12[],2,FALSE),"")</f>
        <v/>
      </c>
      <c r="F1496" s="25" t="str">
        <f>IFERROR(VLOOKUP($B1496,テーブル12[],3,FALSE),"")</f>
        <v/>
      </c>
      <c r="G1496" s="31" t="str">
        <f>IFERROR(VLOOKUP($B1496,テーブル12[],4,FALSE),"")</f>
        <v/>
      </c>
      <c r="H1496" s="25" t="str">
        <f t="shared" si="29"/>
        <v/>
      </c>
    </row>
    <row r="1497" spans="4:8">
      <c r="D1497" s="27" t="str">
        <f>IFERROR(VLOOKUP(A1497,テーブル11[],2,FALSE),"")</f>
        <v/>
      </c>
      <c r="E1497" s="25" t="str">
        <f>IFERROR(VLOOKUP($B1497,テーブル12[],2,FALSE),"")</f>
        <v/>
      </c>
      <c r="F1497" s="25" t="str">
        <f>IFERROR(VLOOKUP($B1497,テーブル12[],3,FALSE),"")</f>
        <v/>
      </c>
      <c r="G1497" s="31" t="str">
        <f>IFERROR(VLOOKUP($B1497,テーブル12[],4,FALSE),"")</f>
        <v/>
      </c>
      <c r="H1497" s="25" t="str">
        <f t="shared" si="29"/>
        <v/>
      </c>
    </row>
    <row r="1498" spans="4:8">
      <c r="D1498" s="27" t="str">
        <f>IFERROR(VLOOKUP(A1498,テーブル11[],2,FALSE),"")</f>
        <v/>
      </c>
      <c r="E1498" s="25" t="str">
        <f>IFERROR(VLOOKUP($B1498,テーブル12[],2,FALSE),"")</f>
        <v/>
      </c>
      <c r="F1498" s="25" t="str">
        <f>IFERROR(VLOOKUP($B1498,テーブル12[],3,FALSE),"")</f>
        <v/>
      </c>
      <c r="G1498" s="31" t="str">
        <f>IFERROR(VLOOKUP($B1498,テーブル12[],4,FALSE),"")</f>
        <v/>
      </c>
      <c r="H1498" s="25" t="str">
        <f t="shared" si="29"/>
        <v/>
      </c>
    </row>
    <row r="1499" spans="4:8">
      <c r="D1499" s="27" t="str">
        <f>IFERROR(VLOOKUP(A1499,テーブル11[],2,FALSE),"")</f>
        <v/>
      </c>
      <c r="E1499" s="25" t="str">
        <f>IFERROR(VLOOKUP($B1499,テーブル12[],2,FALSE),"")</f>
        <v/>
      </c>
      <c r="F1499" s="25" t="str">
        <f>IFERROR(VLOOKUP($B1499,テーブル12[],3,FALSE),"")</f>
        <v/>
      </c>
      <c r="G1499" s="31" t="str">
        <f>IFERROR(VLOOKUP($B1499,テーブル12[],4,FALSE),"")</f>
        <v/>
      </c>
      <c r="H1499" s="25" t="str">
        <f t="shared" si="29"/>
        <v/>
      </c>
    </row>
    <row r="1500" spans="4:8">
      <c r="D1500" s="27" t="str">
        <f>IFERROR(VLOOKUP(A1500,テーブル11[],2,FALSE),"")</f>
        <v/>
      </c>
      <c r="E1500" s="25" t="str">
        <f>IFERROR(VLOOKUP($B1500,テーブル12[],2,FALSE),"")</f>
        <v/>
      </c>
      <c r="F1500" s="25" t="str">
        <f>IFERROR(VLOOKUP($B1500,テーブル12[],3,FALSE),"")</f>
        <v/>
      </c>
      <c r="G1500" s="31" t="str">
        <f>IFERROR(VLOOKUP($B1500,テーブル12[],4,FALSE),"")</f>
        <v/>
      </c>
      <c r="H1500" s="25" t="str">
        <f t="shared" si="29"/>
        <v/>
      </c>
    </row>
    <row r="1501" spans="4:8">
      <c r="D1501" s="27" t="str">
        <f>IFERROR(VLOOKUP(A1501,テーブル11[],2,FALSE),"")</f>
        <v/>
      </c>
      <c r="E1501" s="25" t="str">
        <f>IFERROR(VLOOKUP($B1501,テーブル12[],2,FALSE),"")</f>
        <v/>
      </c>
      <c r="F1501" s="25" t="str">
        <f>IFERROR(VLOOKUP($B1501,テーブル12[],3,FALSE),"")</f>
        <v/>
      </c>
      <c r="G1501" s="31" t="str">
        <f>IFERROR(VLOOKUP($B1501,テーブル12[],4,FALSE),"")</f>
        <v/>
      </c>
      <c r="H1501" s="25" t="str">
        <f t="shared" si="29"/>
        <v/>
      </c>
    </row>
    <row r="1502" spans="4:8">
      <c r="D1502" s="27" t="str">
        <f>IFERROR(VLOOKUP(A1502,テーブル11[],2,FALSE),"")</f>
        <v/>
      </c>
      <c r="E1502" s="25" t="str">
        <f>IFERROR(VLOOKUP($B1502,テーブル12[],2,FALSE),"")</f>
        <v/>
      </c>
      <c r="F1502" s="25" t="str">
        <f>IFERROR(VLOOKUP($B1502,テーブル12[],3,FALSE),"")</f>
        <v/>
      </c>
      <c r="G1502" s="31" t="str">
        <f>IFERROR(VLOOKUP($B1502,テーブル12[],4,FALSE),"")</f>
        <v/>
      </c>
      <c r="H1502" s="25" t="str">
        <f t="shared" si="29"/>
        <v/>
      </c>
    </row>
    <row r="1503" spans="4:8">
      <c r="D1503" s="27" t="str">
        <f>IFERROR(VLOOKUP(A1503,テーブル11[],2,FALSE),"")</f>
        <v/>
      </c>
      <c r="E1503" s="25" t="str">
        <f>IFERROR(VLOOKUP($B1503,テーブル12[],2,FALSE),"")</f>
        <v/>
      </c>
      <c r="F1503" s="25" t="str">
        <f>IFERROR(VLOOKUP($B1503,テーブル12[],3,FALSE),"")</f>
        <v/>
      </c>
      <c r="G1503" s="31" t="str">
        <f>IFERROR(VLOOKUP($B1503,テーブル12[],4,FALSE),"")</f>
        <v/>
      </c>
      <c r="H1503" s="25" t="str">
        <f t="shared" si="29"/>
        <v/>
      </c>
    </row>
    <row r="1504" spans="4:8">
      <c r="D1504" s="27" t="str">
        <f>IFERROR(VLOOKUP(A1504,テーブル11[],2,FALSE),"")</f>
        <v/>
      </c>
      <c r="E1504" s="25" t="str">
        <f>IFERROR(VLOOKUP($B1504,テーブル12[],2,FALSE),"")</f>
        <v/>
      </c>
      <c r="F1504" s="25" t="str">
        <f>IFERROR(VLOOKUP($B1504,テーブル12[],3,FALSE),"")</f>
        <v/>
      </c>
      <c r="G1504" s="31" t="str">
        <f>IFERROR(VLOOKUP($B1504,テーブル12[],4,FALSE),"")</f>
        <v/>
      </c>
      <c r="H1504" s="25" t="str">
        <f t="shared" si="29"/>
        <v/>
      </c>
    </row>
    <row r="1505" spans="4:8">
      <c r="D1505" s="27" t="str">
        <f>IFERROR(VLOOKUP(A1505,テーブル11[],2,FALSE),"")</f>
        <v/>
      </c>
      <c r="E1505" s="25" t="str">
        <f>IFERROR(VLOOKUP($B1505,テーブル12[],2,FALSE),"")</f>
        <v/>
      </c>
      <c r="F1505" s="25" t="str">
        <f>IFERROR(VLOOKUP($B1505,テーブル12[],3,FALSE),"")</f>
        <v/>
      </c>
      <c r="G1505" s="31" t="str">
        <f>IFERROR(VLOOKUP($B1505,テーブル12[],4,FALSE),"")</f>
        <v/>
      </c>
      <c r="H1505" s="25" t="str">
        <f t="shared" si="29"/>
        <v/>
      </c>
    </row>
    <row r="1506" spans="4:8">
      <c r="D1506" s="27" t="str">
        <f>IFERROR(VLOOKUP(A1506,テーブル11[],2,FALSE),"")</f>
        <v/>
      </c>
      <c r="E1506" s="25" t="str">
        <f>IFERROR(VLOOKUP($B1506,テーブル12[],2,FALSE),"")</f>
        <v/>
      </c>
      <c r="F1506" s="25" t="str">
        <f>IFERROR(VLOOKUP($B1506,テーブル12[],3,FALSE),"")</f>
        <v/>
      </c>
      <c r="G1506" s="31" t="str">
        <f>IFERROR(VLOOKUP($B1506,テーブル12[],4,FALSE),"")</f>
        <v/>
      </c>
      <c r="H1506" s="25" t="str">
        <f t="shared" si="29"/>
        <v/>
      </c>
    </row>
    <row r="1507" spans="4:8">
      <c r="D1507" s="27" t="str">
        <f>IFERROR(VLOOKUP(A1507,テーブル11[],2,FALSE),"")</f>
        <v/>
      </c>
      <c r="E1507" s="25" t="str">
        <f>IFERROR(VLOOKUP($B1507,テーブル12[],2,FALSE),"")</f>
        <v/>
      </c>
      <c r="F1507" s="25" t="str">
        <f>IFERROR(VLOOKUP($B1507,テーブル12[],3,FALSE),"")</f>
        <v/>
      </c>
      <c r="G1507" s="31" t="str">
        <f>IFERROR(VLOOKUP($B1507,テーブル12[],4,FALSE),"")</f>
        <v/>
      </c>
      <c r="H1507" s="25" t="str">
        <f t="shared" si="29"/>
        <v/>
      </c>
    </row>
    <row r="1508" spans="4:8">
      <c r="D1508" s="27" t="str">
        <f>IFERROR(VLOOKUP(A1508,テーブル11[],2,FALSE),"")</f>
        <v/>
      </c>
      <c r="E1508" s="25" t="str">
        <f>IFERROR(VLOOKUP($B1508,テーブル12[],2,FALSE),"")</f>
        <v/>
      </c>
      <c r="F1508" s="25" t="str">
        <f>IFERROR(VLOOKUP($B1508,テーブル12[],3,FALSE),"")</f>
        <v/>
      </c>
      <c r="G1508" s="31" t="str">
        <f>IFERROR(VLOOKUP($B1508,テーブル12[],4,FALSE),"")</f>
        <v/>
      </c>
      <c r="H1508" s="25" t="str">
        <f t="shared" si="29"/>
        <v/>
      </c>
    </row>
    <row r="1509" spans="4:8">
      <c r="D1509" s="27" t="str">
        <f>IFERROR(VLOOKUP(A1509,テーブル11[],2,FALSE),"")</f>
        <v/>
      </c>
      <c r="E1509" s="25" t="str">
        <f>IFERROR(VLOOKUP($B1509,テーブル12[],2,FALSE),"")</f>
        <v/>
      </c>
      <c r="F1509" s="25" t="str">
        <f>IFERROR(VLOOKUP($B1509,テーブル12[],3,FALSE),"")</f>
        <v/>
      </c>
      <c r="G1509" s="31" t="str">
        <f>IFERROR(VLOOKUP($B1509,テーブル12[],4,FALSE),"")</f>
        <v/>
      </c>
      <c r="H1509" s="25" t="str">
        <f t="shared" si="29"/>
        <v/>
      </c>
    </row>
    <row r="1510" spans="4:8">
      <c r="D1510" s="27" t="str">
        <f>IFERROR(VLOOKUP(A1510,テーブル11[],2,FALSE),"")</f>
        <v/>
      </c>
      <c r="E1510" s="25" t="str">
        <f>IFERROR(VLOOKUP($B1510,テーブル12[],2,FALSE),"")</f>
        <v/>
      </c>
      <c r="F1510" s="25" t="str">
        <f>IFERROR(VLOOKUP($B1510,テーブル12[],3,FALSE),"")</f>
        <v/>
      </c>
      <c r="G1510" s="31" t="str">
        <f>IFERROR(VLOOKUP($B1510,テーブル12[],4,FALSE),"")</f>
        <v/>
      </c>
      <c r="H1510" s="25" t="str">
        <f t="shared" si="29"/>
        <v/>
      </c>
    </row>
    <row r="1511" spans="4:8">
      <c r="D1511" s="27" t="str">
        <f>IFERROR(VLOOKUP(A1511,テーブル11[],2,FALSE),"")</f>
        <v/>
      </c>
      <c r="E1511" s="25" t="str">
        <f>IFERROR(VLOOKUP($B1511,テーブル12[],2,FALSE),"")</f>
        <v/>
      </c>
      <c r="F1511" s="25" t="str">
        <f>IFERROR(VLOOKUP($B1511,テーブル12[],3,FALSE),"")</f>
        <v/>
      </c>
      <c r="G1511" s="31" t="str">
        <f>IFERROR(VLOOKUP($B1511,テーブル12[],4,FALSE),"")</f>
        <v/>
      </c>
      <c r="H1511" s="25" t="str">
        <f t="shared" si="29"/>
        <v/>
      </c>
    </row>
    <row r="1512" spans="4:8">
      <c r="D1512" s="27" t="str">
        <f>IFERROR(VLOOKUP(A1512,テーブル11[],2,FALSE),"")</f>
        <v/>
      </c>
      <c r="E1512" s="25" t="str">
        <f>IFERROR(VLOOKUP($B1512,テーブル12[],2,FALSE),"")</f>
        <v/>
      </c>
      <c r="F1512" s="25" t="str">
        <f>IFERROR(VLOOKUP($B1512,テーブル12[],3,FALSE),"")</f>
        <v/>
      </c>
      <c r="G1512" s="31" t="str">
        <f>IFERROR(VLOOKUP($B1512,テーブル12[],4,FALSE),"")</f>
        <v/>
      </c>
      <c r="H1512" s="25" t="str">
        <f t="shared" si="29"/>
        <v/>
      </c>
    </row>
    <row r="1513" spans="4:8">
      <c r="D1513" s="27" t="str">
        <f>IFERROR(VLOOKUP(A1513,テーブル11[],2,FALSE),"")</f>
        <v/>
      </c>
      <c r="E1513" s="25" t="str">
        <f>IFERROR(VLOOKUP($B1513,テーブル12[],2,FALSE),"")</f>
        <v/>
      </c>
      <c r="F1513" s="25" t="str">
        <f>IFERROR(VLOOKUP($B1513,テーブル12[],3,FALSE),"")</f>
        <v/>
      </c>
      <c r="G1513" s="31" t="str">
        <f>IFERROR(VLOOKUP($B1513,テーブル12[],4,FALSE),"")</f>
        <v/>
      </c>
      <c r="H1513" s="25" t="str">
        <f t="shared" si="29"/>
        <v/>
      </c>
    </row>
    <row r="1514" spans="4:8">
      <c r="D1514" s="27" t="str">
        <f>IFERROR(VLOOKUP(A1514,テーブル11[],2,FALSE),"")</f>
        <v/>
      </c>
      <c r="E1514" s="25" t="str">
        <f>IFERROR(VLOOKUP($B1514,テーブル12[],2,FALSE),"")</f>
        <v/>
      </c>
      <c r="F1514" s="25" t="str">
        <f>IFERROR(VLOOKUP($B1514,テーブル12[],3,FALSE),"")</f>
        <v/>
      </c>
      <c r="G1514" s="31" t="str">
        <f>IFERROR(VLOOKUP($B1514,テーブル12[],4,FALSE),"")</f>
        <v/>
      </c>
      <c r="H1514" s="25" t="str">
        <f t="shared" si="29"/>
        <v/>
      </c>
    </row>
    <row r="1515" spans="4:8">
      <c r="D1515" s="27" t="str">
        <f>IFERROR(VLOOKUP(A1515,テーブル11[],2,FALSE),"")</f>
        <v/>
      </c>
      <c r="E1515" s="25" t="str">
        <f>IFERROR(VLOOKUP($B1515,テーブル12[],2,FALSE),"")</f>
        <v/>
      </c>
      <c r="F1515" s="25" t="str">
        <f>IFERROR(VLOOKUP($B1515,テーブル12[],3,FALSE),"")</f>
        <v/>
      </c>
      <c r="G1515" s="31" t="str">
        <f>IFERROR(VLOOKUP($B1515,テーブル12[],4,FALSE),"")</f>
        <v/>
      </c>
      <c r="H1515" s="25" t="str">
        <f t="shared" si="29"/>
        <v/>
      </c>
    </row>
    <row r="1516" spans="4:8">
      <c r="D1516" s="27" t="str">
        <f>IFERROR(VLOOKUP(A1516,テーブル11[],2,FALSE),"")</f>
        <v/>
      </c>
      <c r="E1516" s="25" t="str">
        <f>IFERROR(VLOOKUP($B1516,テーブル12[],2,FALSE),"")</f>
        <v/>
      </c>
      <c r="F1516" s="25" t="str">
        <f>IFERROR(VLOOKUP($B1516,テーブル12[],3,FALSE),"")</f>
        <v/>
      </c>
      <c r="G1516" s="31" t="str">
        <f>IFERROR(VLOOKUP($B1516,テーブル12[],4,FALSE),"")</f>
        <v/>
      </c>
      <c r="H1516" s="25" t="str">
        <f t="shared" si="29"/>
        <v/>
      </c>
    </row>
    <row r="1517" spans="4:8">
      <c r="D1517" s="27" t="str">
        <f>IFERROR(VLOOKUP(A1517,テーブル11[],2,FALSE),"")</f>
        <v/>
      </c>
      <c r="E1517" s="25" t="str">
        <f>IFERROR(VLOOKUP($B1517,テーブル12[],2,FALSE),"")</f>
        <v/>
      </c>
      <c r="F1517" s="25" t="str">
        <f>IFERROR(VLOOKUP($B1517,テーブル12[],3,FALSE),"")</f>
        <v/>
      </c>
      <c r="G1517" s="31" t="str">
        <f>IFERROR(VLOOKUP($B1517,テーブル12[],4,FALSE),"")</f>
        <v/>
      </c>
      <c r="H1517" s="25" t="str">
        <f t="shared" si="29"/>
        <v/>
      </c>
    </row>
    <row r="1518" spans="4:8">
      <c r="D1518" s="27" t="str">
        <f>IFERROR(VLOOKUP(A1518,テーブル11[],2,FALSE),"")</f>
        <v/>
      </c>
      <c r="E1518" s="25" t="str">
        <f>IFERROR(VLOOKUP($B1518,テーブル12[],2,FALSE),"")</f>
        <v/>
      </c>
      <c r="F1518" s="25" t="str">
        <f>IFERROR(VLOOKUP($B1518,テーブル12[],3,FALSE),"")</f>
        <v/>
      </c>
      <c r="G1518" s="31" t="str">
        <f>IFERROR(VLOOKUP($B1518,テーブル12[],4,FALSE),"")</f>
        <v/>
      </c>
      <c r="H1518" s="25" t="str">
        <f t="shared" si="29"/>
        <v/>
      </c>
    </row>
    <row r="1519" spans="4:8">
      <c r="D1519" s="27" t="str">
        <f>IFERROR(VLOOKUP(A1519,テーブル11[],2,FALSE),"")</f>
        <v/>
      </c>
      <c r="E1519" s="25" t="str">
        <f>IFERROR(VLOOKUP($B1519,テーブル12[],2,FALSE),"")</f>
        <v/>
      </c>
      <c r="F1519" s="25" t="str">
        <f>IFERROR(VLOOKUP($B1519,テーブル12[],3,FALSE),"")</f>
        <v/>
      </c>
      <c r="G1519" s="31" t="str">
        <f>IFERROR(VLOOKUP($B1519,テーブル12[],4,FALSE),"")</f>
        <v/>
      </c>
      <c r="H1519" s="25" t="str">
        <f t="shared" si="29"/>
        <v/>
      </c>
    </row>
    <row r="1520" spans="4:8">
      <c r="D1520" s="27" t="str">
        <f>IFERROR(VLOOKUP(A1520,テーブル11[],2,FALSE),"")</f>
        <v/>
      </c>
      <c r="E1520" s="25" t="str">
        <f>IFERROR(VLOOKUP($B1520,テーブル12[],2,FALSE),"")</f>
        <v/>
      </c>
      <c r="F1520" s="25" t="str">
        <f>IFERROR(VLOOKUP($B1520,テーブル12[],3,FALSE),"")</f>
        <v/>
      </c>
      <c r="G1520" s="31" t="str">
        <f>IFERROR(VLOOKUP($B1520,テーブル12[],4,FALSE),"")</f>
        <v/>
      </c>
      <c r="H1520" s="25" t="str">
        <f t="shared" si="29"/>
        <v/>
      </c>
    </row>
    <row r="1521" spans="4:8">
      <c r="D1521" s="27" t="str">
        <f>IFERROR(VLOOKUP(A1521,テーブル11[],2,FALSE),"")</f>
        <v/>
      </c>
      <c r="E1521" s="25" t="str">
        <f>IFERROR(VLOOKUP($B1521,テーブル12[],2,FALSE),"")</f>
        <v/>
      </c>
      <c r="F1521" s="25" t="str">
        <f>IFERROR(VLOOKUP($B1521,テーブル12[],3,FALSE),"")</f>
        <v/>
      </c>
      <c r="G1521" s="31" t="str">
        <f>IFERROR(VLOOKUP($B1521,テーブル12[],4,FALSE),"")</f>
        <v/>
      </c>
      <c r="H1521" s="25" t="str">
        <f t="shared" si="29"/>
        <v/>
      </c>
    </row>
    <row r="1522" spans="4:8">
      <c r="D1522" s="27" t="str">
        <f>IFERROR(VLOOKUP(A1522,テーブル11[],2,FALSE),"")</f>
        <v/>
      </c>
      <c r="E1522" s="25" t="str">
        <f>IFERROR(VLOOKUP($B1522,テーブル12[],2,FALSE),"")</f>
        <v/>
      </c>
      <c r="F1522" s="25" t="str">
        <f>IFERROR(VLOOKUP($B1522,テーブル12[],3,FALSE),"")</f>
        <v/>
      </c>
      <c r="G1522" s="31" t="str">
        <f>IFERROR(VLOOKUP($B1522,テーブル12[],4,FALSE),"")</f>
        <v/>
      </c>
      <c r="H1522" s="25" t="str">
        <f t="shared" si="29"/>
        <v/>
      </c>
    </row>
    <row r="1523" spans="4:8">
      <c r="D1523" s="27" t="str">
        <f>IFERROR(VLOOKUP(A1523,テーブル11[],2,FALSE),"")</f>
        <v/>
      </c>
      <c r="E1523" s="25" t="str">
        <f>IFERROR(VLOOKUP($B1523,テーブル12[],2,FALSE),"")</f>
        <v/>
      </c>
      <c r="F1523" s="25" t="str">
        <f>IFERROR(VLOOKUP($B1523,テーブル12[],3,FALSE),"")</f>
        <v/>
      </c>
      <c r="G1523" s="31" t="str">
        <f>IFERROR(VLOOKUP($B1523,テーブル12[],4,FALSE),"")</f>
        <v/>
      </c>
      <c r="H1523" s="25" t="str">
        <f t="shared" si="29"/>
        <v/>
      </c>
    </row>
    <row r="1524" spans="4:8">
      <c r="D1524" s="27" t="str">
        <f>IFERROR(VLOOKUP(A1524,テーブル11[],2,FALSE),"")</f>
        <v/>
      </c>
      <c r="E1524" s="25" t="str">
        <f>IFERROR(VLOOKUP($B1524,テーブル12[],2,FALSE),"")</f>
        <v/>
      </c>
      <c r="F1524" s="25" t="str">
        <f>IFERROR(VLOOKUP($B1524,テーブル12[],3,FALSE),"")</f>
        <v/>
      </c>
      <c r="G1524" s="31" t="str">
        <f>IFERROR(VLOOKUP($B1524,テーブル12[],4,FALSE),"")</f>
        <v/>
      </c>
      <c r="H1524" s="25" t="str">
        <f t="shared" si="29"/>
        <v/>
      </c>
    </row>
    <row r="1525" spans="4:8">
      <c r="D1525" s="27" t="str">
        <f>IFERROR(VLOOKUP(A1525,テーブル11[],2,FALSE),"")</f>
        <v/>
      </c>
      <c r="E1525" s="25" t="str">
        <f>IFERROR(VLOOKUP($B1525,テーブル12[],2,FALSE),"")</f>
        <v/>
      </c>
      <c r="F1525" s="25" t="str">
        <f>IFERROR(VLOOKUP($B1525,テーブル12[],3,FALSE),"")</f>
        <v/>
      </c>
      <c r="G1525" s="31" t="str">
        <f>IFERROR(VLOOKUP($B1525,テーブル12[],4,FALSE),"")</f>
        <v/>
      </c>
      <c r="H1525" s="25" t="str">
        <f t="shared" si="29"/>
        <v/>
      </c>
    </row>
    <row r="1526" spans="4:8">
      <c r="D1526" s="27" t="str">
        <f>IFERROR(VLOOKUP(A1526,テーブル11[],2,FALSE),"")</f>
        <v/>
      </c>
      <c r="E1526" s="25" t="str">
        <f>IFERROR(VLOOKUP($B1526,テーブル12[],2,FALSE),"")</f>
        <v/>
      </c>
      <c r="F1526" s="25" t="str">
        <f>IFERROR(VLOOKUP($B1526,テーブル12[],3,FALSE),"")</f>
        <v/>
      </c>
      <c r="G1526" s="31" t="str">
        <f>IFERROR(VLOOKUP($B1526,テーブル12[],4,FALSE),"")</f>
        <v/>
      </c>
      <c r="H1526" s="25" t="str">
        <f t="shared" si="29"/>
        <v/>
      </c>
    </row>
    <row r="1527" spans="4:8">
      <c r="D1527" s="27" t="str">
        <f>IFERROR(VLOOKUP(A1527,テーブル11[],2,FALSE),"")</f>
        <v/>
      </c>
      <c r="E1527" s="25" t="str">
        <f>IFERROR(VLOOKUP($B1527,テーブル12[],2,FALSE),"")</f>
        <v/>
      </c>
      <c r="F1527" s="25" t="str">
        <f>IFERROR(VLOOKUP($B1527,テーブル12[],3,FALSE),"")</f>
        <v/>
      </c>
      <c r="G1527" s="31" t="str">
        <f>IFERROR(VLOOKUP($B1527,テーブル12[],4,FALSE),"")</f>
        <v/>
      </c>
      <c r="H1527" s="25" t="str">
        <f t="shared" si="29"/>
        <v/>
      </c>
    </row>
    <row r="1528" spans="4:8">
      <c r="D1528" s="27" t="str">
        <f>IFERROR(VLOOKUP(A1528,テーブル11[],2,FALSE),"")</f>
        <v/>
      </c>
      <c r="E1528" s="25" t="str">
        <f>IFERROR(VLOOKUP($B1528,テーブル12[],2,FALSE),"")</f>
        <v/>
      </c>
      <c r="F1528" s="25" t="str">
        <f>IFERROR(VLOOKUP($B1528,テーブル12[],3,FALSE),"")</f>
        <v/>
      </c>
      <c r="G1528" s="31" t="str">
        <f>IFERROR(VLOOKUP($B1528,テーブル12[],4,FALSE),"")</f>
        <v/>
      </c>
      <c r="H1528" s="25" t="str">
        <f t="shared" si="29"/>
        <v/>
      </c>
    </row>
    <row r="1529" spans="4:8">
      <c r="D1529" s="27" t="str">
        <f>IFERROR(VLOOKUP(A1529,テーブル11[],2,FALSE),"")</f>
        <v/>
      </c>
      <c r="E1529" s="25" t="str">
        <f>IFERROR(VLOOKUP($B1529,テーブル12[],2,FALSE),"")</f>
        <v/>
      </c>
      <c r="F1529" s="25" t="str">
        <f>IFERROR(VLOOKUP($B1529,テーブル12[],3,FALSE),"")</f>
        <v/>
      </c>
      <c r="G1529" s="31" t="str">
        <f>IFERROR(VLOOKUP($B1529,テーブル12[],4,FALSE),"")</f>
        <v/>
      </c>
      <c r="H1529" s="25" t="str">
        <f t="shared" si="29"/>
        <v/>
      </c>
    </row>
    <row r="1530" spans="4:8">
      <c r="D1530" s="27" t="str">
        <f>IFERROR(VLOOKUP(A1530,テーブル11[],2,FALSE),"")</f>
        <v/>
      </c>
      <c r="E1530" s="25" t="str">
        <f>IFERROR(VLOOKUP($B1530,テーブル12[],2,FALSE),"")</f>
        <v/>
      </c>
      <c r="F1530" s="25" t="str">
        <f>IFERROR(VLOOKUP($B1530,テーブル12[],3,FALSE),"")</f>
        <v/>
      </c>
      <c r="G1530" s="31" t="str">
        <f>IFERROR(VLOOKUP($B1530,テーブル12[],4,FALSE),"")</f>
        <v/>
      </c>
      <c r="H1530" s="25" t="str">
        <f t="shared" si="29"/>
        <v/>
      </c>
    </row>
    <row r="1531" spans="4:8">
      <c r="D1531" s="27" t="str">
        <f>IFERROR(VLOOKUP(A1531,テーブル11[],2,FALSE),"")</f>
        <v/>
      </c>
      <c r="E1531" s="25" t="str">
        <f>IFERROR(VLOOKUP($B1531,テーブル12[],2,FALSE),"")</f>
        <v/>
      </c>
      <c r="F1531" s="25" t="str">
        <f>IFERROR(VLOOKUP($B1531,テーブル12[],3,FALSE),"")</f>
        <v/>
      </c>
      <c r="G1531" s="31" t="str">
        <f>IFERROR(VLOOKUP($B1531,テーブル12[],4,FALSE),"")</f>
        <v/>
      </c>
      <c r="H1531" s="25" t="str">
        <f t="shared" si="29"/>
        <v/>
      </c>
    </row>
    <row r="1532" spans="4:8">
      <c r="D1532" s="27" t="str">
        <f>IFERROR(VLOOKUP(A1532,テーブル11[],2,FALSE),"")</f>
        <v/>
      </c>
      <c r="E1532" s="25" t="str">
        <f>IFERROR(VLOOKUP($B1532,テーブル12[],2,FALSE),"")</f>
        <v/>
      </c>
      <c r="F1532" s="25" t="str">
        <f>IFERROR(VLOOKUP($B1532,テーブル12[],3,FALSE),"")</f>
        <v/>
      </c>
      <c r="G1532" s="31" t="str">
        <f>IFERROR(VLOOKUP($B1532,テーブル12[],4,FALSE),"")</f>
        <v/>
      </c>
      <c r="H1532" s="25" t="str">
        <f t="shared" si="29"/>
        <v/>
      </c>
    </row>
    <row r="1533" spans="4:8">
      <c r="D1533" s="27" t="str">
        <f>IFERROR(VLOOKUP(A1533,テーブル11[],2,FALSE),"")</f>
        <v/>
      </c>
      <c r="E1533" s="25" t="str">
        <f>IFERROR(VLOOKUP($B1533,テーブル12[],2,FALSE),"")</f>
        <v/>
      </c>
      <c r="F1533" s="25" t="str">
        <f>IFERROR(VLOOKUP($B1533,テーブル12[],3,FALSE),"")</f>
        <v/>
      </c>
      <c r="G1533" s="31" t="str">
        <f>IFERROR(VLOOKUP($B1533,テーブル12[],4,FALSE),"")</f>
        <v/>
      </c>
      <c r="H1533" s="25" t="str">
        <f t="shared" si="29"/>
        <v/>
      </c>
    </row>
    <row r="1534" spans="4:8">
      <c r="D1534" s="27" t="str">
        <f>IFERROR(VLOOKUP(A1534,テーブル11[],2,FALSE),"")</f>
        <v/>
      </c>
      <c r="E1534" s="25" t="str">
        <f>IFERROR(VLOOKUP($B1534,テーブル12[],2,FALSE),"")</f>
        <v/>
      </c>
      <c r="F1534" s="25" t="str">
        <f>IFERROR(VLOOKUP($B1534,テーブル12[],3,FALSE),"")</f>
        <v/>
      </c>
      <c r="G1534" s="31" t="str">
        <f>IFERROR(VLOOKUP($B1534,テーブル12[],4,FALSE),"")</f>
        <v/>
      </c>
      <c r="H1534" s="25" t="str">
        <f t="shared" si="29"/>
        <v/>
      </c>
    </row>
    <row r="1535" spans="4:8">
      <c r="D1535" s="27" t="str">
        <f>IFERROR(VLOOKUP(A1535,テーブル11[],2,FALSE),"")</f>
        <v/>
      </c>
      <c r="E1535" s="25" t="str">
        <f>IFERROR(VLOOKUP($B1535,テーブル12[],2,FALSE),"")</f>
        <v/>
      </c>
      <c r="F1535" s="25" t="str">
        <f>IFERROR(VLOOKUP($B1535,テーブル12[],3,FALSE),"")</f>
        <v/>
      </c>
      <c r="G1535" s="31" t="str">
        <f>IFERROR(VLOOKUP($B1535,テーブル12[],4,FALSE),"")</f>
        <v/>
      </c>
      <c r="H1535" s="25" t="str">
        <f t="shared" si="29"/>
        <v/>
      </c>
    </row>
    <row r="1536" spans="4:8">
      <c r="D1536" s="27" t="str">
        <f>IFERROR(VLOOKUP(A1536,テーブル11[],2,FALSE),"")</f>
        <v/>
      </c>
      <c r="E1536" s="25" t="str">
        <f>IFERROR(VLOOKUP($B1536,テーブル12[],2,FALSE),"")</f>
        <v/>
      </c>
      <c r="F1536" s="25" t="str">
        <f>IFERROR(VLOOKUP($B1536,テーブル12[],3,FALSE),"")</f>
        <v/>
      </c>
      <c r="G1536" s="31" t="str">
        <f>IFERROR(VLOOKUP($B1536,テーブル12[],4,FALSE),"")</f>
        <v/>
      </c>
      <c r="H1536" s="25" t="str">
        <f t="shared" si="29"/>
        <v/>
      </c>
    </row>
    <row r="1537" spans="4:8">
      <c r="D1537" s="27" t="str">
        <f>IFERROR(VLOOKUP(A1537,テーブル11[],2,FALSE),"")</f>
        <v/>
      </c>
      <c r="E1537" s="25" t="str">
        <f>IFERROR(VLOOKUP($B1537,テーブル12[],2,FALSE),"")</f>
        <v/>
      </c>
      <c r="F1537" s="25" t="str">
        <f>IFERROR(VLOOKUP($B1537,テーブル12[],3,FALSE),"")</f>
        <v/>
      </c>
      <c r="G1537" s="31" t="str">
        <f>IFERROR(VLOOKUP($B1537,テーブル12[],4,FALSE),"")</f>
        <v/>
      </c>
      <c r="H1537" s="25" t="str">
        <f t="shared" si="29"/>
        <v/>
      </c>
    </row>
    <row r="1538" spans="4:8">
      <c r="D1538" s="27" t="str">
        <f>IFERROR(VLOOKUP(A1538,テーブル11[],2,FALSE),"")</f>
        <v/>
      </c>
      <c r="E1538" s="25" t="str">
        <f>IFERROR(VLOOKUP($B1538,テーブル12[],2,FALSE),"")</f>
        <v/>
      </c>
      <c r="F1538" s="25" t="str">
        <f>IFERROR(VLOOKUP($B1538,テーブル12[],3,FALSE),"")</f>
        <v/>
      </c>
      <c r="G1538" s="31" t="str">
        <f>IFERROR(VLOOKUP($B1538,テーブル12[],4,FALSE),"")</f>
        <v/>
      </c>
      <c r="H1538" s="25" t="str">
        <f t="shared" ref="H1538:H1601" si="30">IF(C1538=0,"",C1538)</f>
        <v/>
      </c>
    </row>
    <row r="1539" spans="4:8">
      <c r="D1539" s="27" t="str">
        <f>IFERROR(VLOOKUP(A1539,テーブル11[],2,FALSE),"")</f>
        <v/>
      </c>
      <c r="E1539" s="25" t="str">
        <f>IFERROR(VLOOKUP($B1539,テーブル12[],2,FALSE),"")</f>
        <v/>
      </c>
      <c r="F1539" s="25" t="str">
        <f>IFERROR(VLOOKUP($B1539,テーブル12[],3,FALSE),"")</f>
        <v/>
      </c>
      <c r="G1539" s="31" t="str">
        <f>IFERROR(VLOOKUP($B1539,テーブル12[],4,FALSE),"")</f>
        <v/>
      </c>
      <c r="H1539" s="25" t="str">
        <f t="shared" si="30"/>
        <v/>
      </c>
    </row>
    <row r="1540" spans="4:8">
      <c r="D1540" s="27" t="str">
        <f>IFERROR(VLOOKUP(A1540,テーブル11[],2,FALSE),"")</f>
        <v/>
      </c>
      <c r="E1540" s="25" t="str">
        <f>IFERROR(VLOOKUP($B1540,テーブル12[],2,FALSE),"")</f>
        <v/>
      </c>
      <c r="F1540" s="25" t="str">
        <f>IFERROR(VLOOKUP($B1540,テーブル12[],3,FALSE),"")</f>
        <v/>
      </c>
      <c r="G1540" s="31" t="str">
        <f>IFERROR(VLOOKUP($B1540,テーブル12[],4,FALSE),"")</f>
        <v/>
      </c>
      <c r="H1540" s="25" t="str">
        <f t="shared" si="30"/>
        <v/>
      </c>
    </row>
    <row r="1541" spans="4:8">
      <c r="D1541" s="27" t="str">
        <f>IFERROR(VLOOKUP(A1541,テーブル11[],2,FALSE),"")</f>
        <v/>
      </c>
      <c r="E1541" s="25" t="str">
        <f>IFERROR(VLOOKUP($B1541,テーブル12[],2,FALSE),"")</f>
        <v/>
      </c>
      <c r="F1541" s="25" t="str">
        <f>IFERROR(VLOOKUP($B1541,テーブル12[],3,FALSE),"")</f>
        <v/>
      </c>
      <c r="G1541" s="31" t="str">
        <f>IFERROR(VLOOKUP($B1541,テーブル12[],4,FALSE),"")</f>
        <v/>
      </c>
      <c r="H1541" s="25" t="str">
        <f t="shared" si="30"/>
        <v/>
      </c>
    </row>
    <row r="1542" spans="4:8">
      <c r="D1542" s="27" t="str">
        <f>IFERROR(VLOOKUP(A1542,テーブル11[],2,FALSE),"")</f>
        <v/>
      </c>
      <c r="E1542" s="25" t="str">
        <f>IFERROR(VLOOKUP($B1542,テーブル12[],2,FALSE),"")</f>
        <v/>
      </c>
      <c r="F1542" s="25" t="str">
        <f>IFERROR(VLOOKUP($B1542,テーブル12[],3,FALSE),"")</f>
        <v/>
      </c>
      <c r="G1542" s="31" t="str">
        <f>IFERROR(VLOOKUP($B1542,テーブル12[],4,FALSE),"")</f>
        <v/>
      </c>
      <c r="H1542" s="25" t="str">
        <f t="shared" si="30"/>
        <v/>
      </c>
    </row>
    <row r="1543" spans="4:8">
      <c r="D1543" s="27" t="str">
        <f>IFERROR(VLOOKUP(A1543,テーブル11[],2,FALSE),"")</f>
        <v/>
      </c>
      <c r="E1543" s="25" t="str">
        <f>IFERROR(VLOOKUP($B1543,テーブル12[],2,FALSE),"")</f>
        <v/>
      </c>
      <c r="F1543" s="25" t="str">
        <f>IFERROR(VLOOKUP($B1543,テーブル12[],3,FALSE),"")</f>
        <v/>
      </c>
      <c r="G1543" s="31" t="str">
        <f>IFERROR(VLOOKUP($B1543,テーブル12[],4,FALSE),"")</f>
        <v/>
      </c>
      <c r="H1543" s="25" t="str">
        <f t="shared" si="30"/>
        <v/>
      </c>
    </row>
    <row r="1544" spans="4:8">
      <c r="D1544" s="27" t="str">
        <f>IFERROR(VLOOKUP(A1544,テーブル11[],2,FALSE),"")</f>
        <v/>
      </c>
      <c r="E1544" s="25" t="str">
        <f>IFERROR(VLOOKUP($B1544,テーブル12[],2,FALSE),"")</f>
        <v/>
      </c>
      <c r="F1544" s="25" t="str">
        <f>IFERROR(VLOOKUP($B1544,テーブル12[],3,FALSE),"")</f>
        <v/>
      </c>
      <c r="G1544" s="31" t="str">
        <f>IFERROR(VLOOKUP($B1544,テーブル12[],4,FALSE),"")</f>
        <v/>
      </c>
      <c r="H1544" s="25" t="str">
        <f t="shared" si="30"/>
        <v/>
      </c>
    </row>
    <row r="1545" spans="4:8">
      <c r="D1545" s="27" t="str">
        <f>IFERROR(VLOOKUP(A1545,テーブル11[],2,FALSE),"")</f>
        <v/>
      </c>
      <c r="E1545" s="25" t="str">
        <f>IFERROR(VLOOKUP($B1545,テーブル12[],2,FALSE),"")</f>
        <v/>
      </c>
      <c r="F1545" s="25" t="str">
        <f>IFERROR(VLOOKUP($B1545,テーブル12[],3,FALSE),"")</f>
        <v/>
      </c>
      <c r="G1545" s="31" t="str">
        <f>IFERROR(VLOOKUP($B1545,テーブル12[],4,FALSE),"")</f>
        <v/>
      </c>
      <c r="H1545" s="25" t="str">
        <f t="shared" si="30"/>
        <v/>
      </c>
    </row>
    <row r="1546" spans="4:8">
      <c r="D1546" s="27" t="str">
        <f>IFERROR(VLOOKUP(A1546,テーブル11[],2,FALSE),"")</f>
        <v/>
      </c>
      <c r="E1546" s="25" t="str">
        <f>IFERROR(VLOOKUP($B1546,テーブル12[],2,FALSE),"")</f>
        <v/>
      </c>
      <c r="F1546" s="25" t="str">
        <f>IFERROR(VLOOKUP($B1546,テーブル12[],3,FALSE),"")</f>
        <v/>
      </c>
      <c r="G1546" s="31" t="str">
        <f>IFERROR(VLOOKUP($B1546,テーブル12[],4,FALSE),"")</f>
        <v/>
      </c>
      <c r="H1546" s="25" t="str">
        <f t="shared" si="30"/>
        <v/>
      </c>
    </row>
    <row r="1547" spans="4:8">
      <c r="D1547" s="27" t="str">
        <f>IFERROR(VLOOKUP(A1547,テーブル11[],2,FALSE),"")</f>
        <v/>
      </c>
      <c r="E1547" s="25" t="str">
        <f>IFERROR(VLOOKUP($B1547,テーブル12[],2,FALSE),"")</f>
        <v/>
      </c>
      <c r="F1547" s="25" t="str">
        <f>IFERROR(VLOOKUP($B1547,テーブル12[],3,FALSE),"")</f>
        <v/>
      </c>
      <c r="G1547" s="31" t="str">
        <f>IFERROR(VLOOKUP($B1547,テーブル12[],4,FALSE),"")</f>
        <v/>
      </c>
      <c r="H1547" s="25" t="str">
        <f t="shared" si="30"/>
        <v/>
      </c>
    </row>
    <row r="1548" spans="4:8">
      <c r="D1548" s="27" t="str">
        <f>IFERROR(VLOOKUP(A1548,テーブル11[],2,FALSE),"")</f>
        <v/>
      </c>
      <c r="E1548" s="25" t="str">
        <f>IFERROR(VLOOKUP($B1548,テーブル12[],2,FALSE),"")</f>
        <v/>
      </c>
      <c r="F1548" s="25" t="str">
        <f>IFERROR(VLOOKUP($B1548,テーブル12[],3,FALSE),"")</f>
        <v/>
      </c>
      <c r="G1548" s="31" t="str">
        <f>IFERROR(VLOOKUP($B1548,テーブル12[],4,FALSE),"")</f>
        <v/>
      </c>
      <c r="H1548" s="25" t="str">
        <f t="shared" si="30"/>
        <v/>
      </c>
    </row>
    <row r="1549" spans="4:8">
      <c r="D1549" s="27" t="str">
        <f>IFERROR(VLOOKUP(A1549,テーブル11[],2,FALSE),"")</f>
        <v/>
      </c>
      <c r="E1549" s="25" t="str">
        <f>IFERROR(VLOOKUP($B1549,テーブル12[],2,FALSE),"")</f>
        <v/>
      </c>
      <c r="F1549" s="25" t="str">
        <f>IFERROR(VLOOKUP($B1549,テーブル12[],3,FALSE),"")</f>
        <v/>
      </c>
      <c r="G1549" s="31" t="str">
        <f>IFERROR(VLOOKUP($B1549,テーブル12[],4,FALSE),"")</f>
        <v/>
      </c>
      <c r="H1549" s="25" t="str">
        <f t="shared" si="30"/>
        <v/>
      </c>
    </row>
    <row r="1550" spans="4:8">
      <c r="D1550" s="27" t="str">
        <f>IFERROR(VLOOKUP(A1550,テーブル11[],2,FALSE),"")</f>
        <v/>
      </c>
      <c r="E1550" s="25" t="str">
        <f>IFERROR(VLOOKUP($B1550,テーブル12[],2,FALSE),"")</f>
        <v/>
      </c>
      <c r="F1550" s="25" t="str">
        <f>IFERROR(VLOOKUP($B1550,テーブル12[],3,FALSE),"")</f>
        <v/>
      </c>
      <c r="G1550" s="31" t="str">
        <f>IFERROR(VLOOKUP($B1550,テーブル12[],4,FALSE),"")</f>
        <v/>
      </c>
      <c r="H1550" s="25" t="str">
        <f t="shared" si="30"/>
        <v/>
      </c>
    </row>
    <row r="1551" spans="4:8">
      <c r="D1551" s="27" t="str">
        <f>IFERROR(VLOOKUP(A1551,テーブル11[],2,FALSE),"")</f>
        <v/>
      </c>
      <c r="E1551" s="25" t="str">
        <f>IFERROR(VLOOKUP($B1551,テーブル12[],2,FALSE),"")</f>
        <v/>
      </c>
      <c r="F1551" s="25" t="str">
        <f>IFERROR(VLOOKUP($B1551,テーブル12[],3,FALSE),"")</f>
        <v/>
      </c>
      <c r="G1551" s="31" t="str">
        <f>IFERROR(VLOOKUP($B1551,テーブル12[],4,FALSE),"")</f>
        <v/>
      </c>
      <c r="H1551" s="25" t="str">
        <f t="shared" si="30"/>
        <v/>
      </c>
    </row>
    <row r="1552" spans="4:8">
      <c r="D1552" s="27" t="str">
        <f>IFERROR(VLOOKUP(A1552,テーブル11[],2,FALSE),"")</f>
        <v/>
      </c>
      <c r="E1552" s="25" t="str">
        <f>IFERROR(VLOOKUP($B1552,テーブル12[],2,FALSE),"")</f>
        <v/>
      </c>
      <c r="F1552" s="25" t="str">
        <f>IFERROR(VLOOKUP($B1552,テーブル12[],3,FALSE),"")</f>
        <v/>
      </c>
      <c r="G1552" s="31" t="str">
        <f>IFERROR(VLOOKUP($B1552,テーブル12[],4,FALSE),"")</f>
        <v/>
      </c>
      <c r="H1552" s="25" t="str">
        <f t="shared" si="30"/>
        <v/>
      </c>
    </row>
    <row r="1553" spans="4:8">
      <c r="D1553" s="27" t="str">
        <f>IFERROR(VLOOKUP(A1553,テーブル11[],2,FALSE),"")</f>
        <v/>
      </c>
      <c r="E1553" s="25" t="str">
        <f>IFERROR(VLOOKUP($B1553,テーブル12[],2,FALSE),"")</f>
        <v/>
      </c>
      <c r="F1553" s="25" t="str">
        <f>IFERROR(VLOOKUP($B1553,テーブル12[],3,FALSE),"")</f>
        <v/>
      </c>
      <c r="G1553" s="31" t="str">
        <f>IFERROR(VLOOKUP($B1553,テーブル12[],4,FALSE),"")</f>
        <v/>
      </c>
      <c r="H1553" s="25" t="str">
        <f t="shared" si="30"/>
        <v/>
      </c>
    </row>
    <row r="1554" spans="4:8">
      <c r="D1554" s="27" t="str">
        <f>IFERROR(VLOOKUP(A1554,テーブル11[],2,FALSE),"")</f>
        <v/>
      </c>
      <c r="E1554" s="25" t="str">
        <f>IFERROR(VLOOKUP($B1554,テーブル12[],2,FALSE),"")</f>
        <v/>
      </c>
      <c r="F1554" s="25" t="str">
        <f>IFERROR(VLOOKUP($B1554,テーブル12[],3,FALSE),"")</f>
        <v/>
      </c>
      <c r="G1554" s="31" t="str">
        <f>IFERROR(VLOOKUP($B1554,テーブル12[],4,FALSE),"")</f>
        <v/>
      </c>
      <c r="H1554" s="25" t="str">
        <f t="shared" si="30"/>
        <v/>
      </c>
    </row>
    <row r="1555" spans="4:8">
      <c r="D1555" s="27" t="str">
        <f>IFERROR(VLOOKUP(A1555,テーブル11[],2,FALSE),"")</f>
        <v/>
      </c>
      <c r="E1555" s="25" t="str">
        <f>IFERROR(VLOOKUP($B1555,テーブル12[],2,FALSE),"")</f>
        <v/>
      </c>
      <c r="F1555" s="25" t="str">
        <f>IFERROR(VLOOKUP($B1555,テーブル12[],3,FALSE),"")</f>
        <v/>
      </c>
      <c r="G1555" s="31" t="str">
        <f>IFERROR(VLOOKUP($B1555,テーブル12[],4,FALSE),"")</f>
        <v/>
      </c>
      <c r="H1555" s="25" t="str">
        <f t="shared" si="30"/>
        <v/>
      </c>
    </row>
    <row r="1556" spans="4:8">
      <c r="D1556" s="27" t="str">
        <f>IFERROR(VLOOKUP(A1556,テーブル11[],2,FALSE),"")</f>
        <v/>
      </c>
      <c r="E1556" s="25" t="str">
        <f>IFERROR(VLOOKUP($B1556,テーブル12[],2,FALSE),"")</f>
        <v/>
      </c>
      <c r="F1556" s="25" t="str">
        <f>IFERROR(VLOOKUP($B1556,テーブル12[],3,FALSE),"")</f>
        <v/>
      </c>
      <c r="G1556" s="31" t="str">
        <f>IFERROR(VLOOKUP($B1556,テーブル12[],4,FALSE),"")</f>
        <v/>
      </c>
      <c r="H1556" s="25" t="str">
        <f t="shared" si="30"/>
        <v/>
      </c>
    </row>
    <row r="1557" spans="4:8">
      <c r="D1557" s="27" t="str">
        <f>IFERROR(VLOOKUP(A1557,テーブル11[],2,FALSE),"")</f>
        <v/>
      </c>
      <c r="E1557" s="25" t="str">
        <f>IFERROR(VLOOKUP($B1557,テーブル12[],2,FALSE),"")</f>
        <v/>
      </c>
      <c r="F1557" s="25" t="str">
        <f>IFERROR(VLOOKUP($B1557,テーブル12[],3,FALSE),"")</f>
        <v/>
      </c>
      <c r="G1557" s="31" t="str">
        <f>IFERROR(VLOOKUP($B1557,テーブル12[],4,FALSE),"")</f>
        <v/>
      </c>
      <c r="H1557" s="25" t="str">
        <f t="shared" si="30"/>
        <v/>
      </c>
    </row>
    <row r="1558" spans="4:8">
      <c r="D1558" s="27" t="str">
        <f>IFERROR(VLOOKUP(A1558,テーブル11[],2,FALSE),"")</f>
        <v/>
      </c>
      <c r="E1558" s="25" t="str">
        <f>IFERROR(VLOOKUP($B1558,テーブル12[],2,FALSE),"")</f>
        <v/>
      </c>
      <c r="F1558" s="25" t="str">
        <f>IFERROR(VLOOKUP($B1558,テーブル12[],3,FALSE),"")</f>
        <v/>
      </c>
      <c r="G1558" s="31" t="str">
        <f>IFERROR(VLOOKUP($B1558,テーブル12[],4,FALSE),"")</f>
        <v/>
      </c>
      <c r="H1558" s="25" t="str">
        <f t="shared" si="30"/>
        <v/>
      </c>
    </row>
    <row r="1559" spans="4:8">
      <c r="D1559" s="27" t="str">
        <f>IFERROR(VLOOKUP(A1559,テーブル11[],2,FALSE),"")</f>
        <v/>
      </c>
      <c r="E1559" s="25" t="str">
        <f>IFERROR(VLOOKUP($B1559,テーブル12[],2,FALSE),"")</f>
        <v/>
      </c>
      <c r="F1559" s="25" t="str">
        <f>IFERROR(VLOOKUP($B1559,テーブル12[],3,FALSE),"")</f>
        <v/>
      </c>
      <c r="G1559" s="31" t="str">
        <f>IFERROR(VLOOKUP($B1559,テーブル12[],4,FALSE),"")</f>
        <v/>
      </c>
      <c r="H1559" s="25" t="str">
        <f t="shared" si="30"/>
        <v/>
      </c>
    </row>
    <row r="1560" spans="4:8">
      <c r="D1560" s="27" t="str">
        <f>IFERROR(VLOOKUP(A1560,テーブル11[],2,FALSE),"")</f>
        <v/>
      </c>
      <c r="E1560" s="25" t="str">
        <f>IFERROR(VLOOKUP($B1560,テーブル12[],2,FALSE),"")</f>
        <v/>
      </c>
      <c r="F1560" s="25" t="str">
        <f>IFERROR(VLOOKUP($B1560,テーブル12[],3,FALSE),"")</f>
        <v/>
      </c>
      <c r="G1560" s="31" t="str">
        <f>IFERROR(VLOOKUP($B1560,テーブル12[],4,FALSE),"")</f>
        <v/>
      </c>
      <c r="H1560" s="25" t="str">
        <f t="shared" si="30"/>
        <v/>
      </c>
    </row>
    <row r="1561" spans="4:8">
      <c r="D1561" s="27" t="str">
        <f>IFERROR(VLOOKUP(A1561,テーブル11[],2,FALSE),"")</f>
        <v/>
      </c>
      <c r="E1561" s="25" t="str">
        <f>IFERROR(VLOOKUP($B1561,テーブル12[],2,FALSE),"")</f>
        <v/>
      </c>
      <c r="F1561" s="25" t="str">
        <f>IFERROR(VLOOKUP($B1561,テーブル12[],3,FALSE),"")</f>
        <v/>
      </c>
      <c r="G1561" s="31" t="str">
        <f>IFERROR(VLOOKUP($B1561,テーブル12[],4,FALSE),"")</f>
        <v/>
      </c>
      <c r="H1561" s="25" t="str">
        <f t="shared" si="30"/>
        <v/>
      </c>
    </row>
    <row r="1562" spans="4:8">
      <c r="D1562" s="27" t="str">
        <f>IFERROR(VLOOKUP(A1562,テーブル11[],2,FALSE),"")</f>
        <v/>
      </c>
      <c r="E1562" s="25" t="str">
        <f>IFERROR(VLOOKUP($B1562,テーブル12[],2,FALSE),"")</f>
        <v/>
      </c>
      <c r="F1562" s="25" t="str">
        <f>IFERROR(VLOOKUP($B1562,テーブル12[],3,FALSE),"")</f>
        <v/>
      </c>
      <c r="G1562" s="31" t="str">
        <f>IFERROR(VLOOKUP($B1562,テーブル12[],4,FALSE),"")</f>
        <v/>
      </c>
      <c r="H1562" s="25" t="str">
        <f t="shared" si="30"/>
        <v/>
      </c>
    </row>
    <row r="1563" spans="4:8">
      <c r="D1563" s="27" t="str">
        <f>IFERROR(VLOOKUP(A1563,テーブル11[],2,FALSE),"")</f>
        <v/>
      </c>
      <c r="E1563" s="25" t="str">
        <f>IFERROR(VLOOKUP($B1563,テーブル12[],2,FALSE),"")</f>
        <v/>
      </c>
      <c r="F1563" s="25" t="str">
        <f>IFERROR(VLOOKUP($B1563,テーブル12[],3,FALSE),"")</f>
        <v/>
      </c>
      <c r="G1563" s="31" t="str">
        <f>IFERROR(VLOOKUP($B1563,テーブル12[],4,FALSE),"")</f>
        <v/>
      </c>
      <c r="H1563" s="25" t="str">
        <f t="shared" si="30"/>
        <v/>
      </c>
    </row>
    <row r="1564" spans="4:8">
      <c r="D1564" s="27" t="str">
        <f>IFERROR(VLOOKUP(A1564,テーブル11[],2,FALSE),"")</f>
        <v/>
      </c>
      <c r="E1564" s="25" t="str">
        <f>IFERROR(VLOOKUP($B1564,テーブル12[],2,FALSE),"")</f>
        <v/>
      </c>
      <c r="F1564" s="25" t="str">
        <f>IFERROR(VLOOKUP($B1564,テーブル12[],3,FALSE),"")</f>
        <v/>
      </c>
      <c r="G1564" s="31" t="str">
        <f>IFERROR(VLOOKUP($B1564,テーブル12[],4,FALSE),"")</f>
        <v/>
      </c>
      <c r="H1564" s="25" t="str">
        <f t="shared" si="30"/>
        <v/>
      </c>
    </row>
    <row r="1565" spans="4:8">
      <c r="D1565" s="27" t="str">
        <f>IFERROR(VLOOKUP(A1565,テーブル11[],2,FALSE),"")</f>
        <v/>
      </c>
      <c r="E1565" s="25" t="str">
        <f>IFERROR(VLOOKUP($B1565,テーブル12[],2,FALSE),"")</f>
        <v/>
      </c>
      <c r="F1565" s="25" t="str">
        <f>IFERROR(VLOOKUP($B1565,テーブル12[],3,FALSE),"")</f>
        <v/>
      </c>
      <c r="G1565" s="31" t="str">
        <f>IFERROR(VLOOKUP($B1565,テーブル12[],4,FALSE),"")</f>
        <v/>
      </c>
      <c r="H1565" s="25" t="str">
        <f t="shared" si="30"/>
        <v/>
      </c>
    </row>
    <row r="1566" spans="4:8">
      <c r="D1566" s="27" t="str">
        <f>IFERROR(VLOOKUP(A1566,テーブル11[],2,FALSE),"")</f>
        <v/>
      </c>
      <c r="E1566" s="25" t="str">
        <f>IFERROR(VLOOKUP($B1566,テーブル12[],2,FALSE),"")</f>
        <v/>
      </c>
      <c r="F1566" s="25" t="str">
        <f>IFERROR(VLOOKUP($B1566,テーブル12[],3,FALSE),"")</f>
        <v/>
      </c>
      <c r="G1566" s="31" t="str">
        <f>IFERROR(VLOOKUP($B1566,テーブル12[],4,FALSE),"")</f>
        <v/>
      </c>
      <c r="H1566" s="25" t="str">
        <f t="shared" si="30"/>
        <v/>
      </c>
    </row>
    <row r="1567" spans="4:8">
      <c r="D1567" s="27" t="str">
        <f>IFERROR(VLOOKUP(A1567,テーブル11[],2,FALSE),"")</f>
        <v/>
      </c>
      <c r="E1567" s="25" t="str">
        <f>IFERROR(VLOOKUP($B1567,テーブル12[],2,FALSE),"")</f>
        <v/>
      </c>
      <c r="F1567" s="25" t="str">
        <f>IFERROR(VLOOKUP($B1567,テーブル12[],3,FALSE),"")</f>
        <v/>
      </c>
      <c r="G1567" s="31" t="str">
        <f>IFERROR(VLOOKUP($B1567,テーブル12[],4,FALSE),"")</f>
        <v/>
      </c>
      <c r="H1567" s="25" t="str">
        <f t="shared" si="30"/>
        <v/>
      </c>
    </row>
    <row r="1568" spans="4:8">
      <c r="D1568" s="27" t="str">
        <f>IFERROR(VLOOKUP(A1568,テーブル11[],2,FALSE),"")</f>
        <v/>
      </c>
      <c r="E1568" s="25" t="str">
        <f>IFERROR(VLOOKUP($B1568,テーブル12[],2,FALSE),"")</f>
        <v/>
      </c>
      <c r="F1568" s="25" t="str">
        <f>IFERROR(VLOOKUP($B1568,テーブル12[],3,FALSE),"")</f>
        <v/>
      </c>
      <c r="G1568" s="31" t="str">
        <f>IFERROR(VLOOKUP($B1568,テーブル12[],4,FALSE),"")</f>
        <v/>
      </c>
      <c r="H1568" s="25" t="str">
        <f t="shared" si="30"/>
        <v/>
      </c>
    </row>
    <row r="1569" spans="4:8">
      <c r="D1569" s="27" t="str">
        <f>IFERROR(VLOOKUP(A1569,テーブル11[],2,FALSE),"")</f>
        <v/>
      </c>
      <c r="E1569" s="25" t="str">
        <f>IFERROR(VLOOKUP($B1569,テーブル12[],2,FALSE),"")</f>
        <v/>
      </c>
      <c r="F1569" s="25" t="str">
        <f>IFERROR(VLOOKUP($B1569,テーブル12[],3,FALSE),"")</f>
        <v/>
      </c>
      <c r="G1569" s="31" t="str">
        <f>IFERROR(VLOOKUP($B1569,テーブル12[],4,FALSE),"")</f>
        <v/>
      </c>
      <c r="H1569" s="25" t="str">
        <f t="shared" si="30"/>
        <v/>
      </c>
    </row>
    <row r="1570" spans="4:8">
      <c r="D1570" s="27" t="str">
        <f>IFERROR(VLOOKUP(A1570,テーブル11[],2,FALSE),"")</f>
        <v/>
      </c>
      <c r="E1570" s="25" t="str">
        <f>IFERROR(VLOOKUP($B1570,テーブル12[],2,FALSE),"")</f>
        <v/>
      </c>
      <c r="F1570" s="25" t="str">
        <f>IFERROR(VLOOKUP($B1570,テーブル12[],3,FALSE),"")</f>
        <v/>
      </c>
      <c r="G1570" s="31" t="str">
        <f>IFERROR(VLOOKUP($B1570,テーブル12[],4,FALSE),"")</f>
        <v/>
      </c>
      <c r="H1570" s="25" t="str">
        <f t="shared" si="30"/>
        <v/>
      </c>
    </row>
    <row r="1571" spans="4:8">
      <c r="D1571" s="27" t="str">
        <f>IFERROR(VLOOKUP(A1571,テーブル11[],2,FALSE),"")</f>
        <v/>
      </c>
      <c r="E1571" s="25" t="str">
        <f>IFERROR(VLOOKUP($B1571,テーブル12[],2,FALSE),"")</f>
        <v/>
      </c>
      <c r="F1571" s="25" t="str">
        <f>IFERROR(VLOOKUP($B1571,テーブル12[],3,FALSE),"")</f>
        <v/>
      </c>
      <c r="G1571" s="31" t="str">
        <f>IFERROR(VLOOKUP($B1571,テーブル12[],4,FALSE),"")</f>
        <v/>
      </c>
      <c r="H1571" s="25" t="str">
        <f t="shared" si="30"/>
        <v/>
      </c>
    </row>
    <row r="1572" spans="4:8">
      <c r="D1572" s="27" t="str">
        <f>IFERROR(VLOOKUP(A1572,テーブル11[],2,FALSE),"")</f>
        <v/>
      </c>
      <c r="E1572" s="25" t="str">
        <f>IFERROR(VLOOKUP($B1572,テーブル12[],2,FALSE),"")</f>
        <v/>
      </c>
      <c r="F1572" s="25" t="str">
        <f>IFERROR(VLOOKUP($B1572,テーブル12[],3,FALSE),"")</f>
        <v/>
      </c>
      <c r="G1572" s="31" t="str">
        <f>IFERROR(VLOOKUP($B1572,テーブル12[],4,FALSE),"")</f>
        <v/>
      </c>
      <c r="H1572" s="25" t="str">
        <f t="shared" si="30"/>
        <v/>
      </c>
    </row>
    <row r="1573" spans="4:8">
      <c r="D1573" s="27" t="str">
        <f>IFERROR(VLOOKUP(A1573,テーブル11[],2,FALSE),"")</f>
        <v/>
      </c>
      <c r="E1573" s="25" t="str">
        <f>IFERROR(VLOOKUP($B1573,テーブル12[],2,FALSE),"")</f>
        <v/>
      </c>
      <c r="F1573" s="25" t="str">
        <f>IFERROR(VLOOKUP($B1573,テーブル12[],3,FALSE),"")</f>
        <v/>
      </c>
      <c r="G1573" s="31" t="str">
        <f>IFERROR(VLOOKUP($B1573,テーブル12[],4,FALSE),"")</f>
        <v/>
      </c>
      <c r="H1573" s="25" t="str">
        <f t="shared" si="30"/>
        <v/>
      </c>
    </row>
    <row r="1574" spans="4:8">
      <c r="D1574" s="27" t="str">
        <f>IFERROR(VLOOKUP(A1574,テーブル11[],2,FALSE),"")</f>
        <v/>
      </c>
      <c r="E1574" s="25" t="str">
        <f>IFERROR(VLOOKUP($B1574,テーブル12[],2,FALSE),"")</f>
        <v/>
      </c>
      <c r="F1574" s="25" t="str">
        <f>IFERROR(VLOOKUP($B1574,テーブル12[],3,FALSE),"")</f>
        <v/>
      </c>
      <c r="G1574" s="31" t="str">
        <f>IFERROR(VLOOKUP($B1574,テーブル12[],4,FALSE),"")</f>
        <v/>
      </c>
      <c r="H1574" s="25" t="str">
        <f t="shared" si="30"/>
        <v/>
      </c>
    </row>
    <row r="1575" spans="4:8">
      <c r="D1575" s="27" t="str">
        <f>IFERROR(VLOOKUP(A1575,テーブル11[],2,FALSE),"")</f>
        <v/>
      </c>
      <c r="E1575" s="25" t="str">
        <f>IFERROR(VLOOKUP($B1575,テーブル12[],2,FALSE),"")</f>
        <v/>
      </c>
      <c r="F1575" s="25" t="str">
        <f>IFERROR(VLOOKUP($B1575,テーブル12[],3,FALSE),"")</f>
        <v/>
      </c>
      <c r="G1575" s="31" t="str">
        <f>IFERROR(VLOOKUP($B1575,テーブル12[],4,FALSE),"")</f>
        <v/>
      </c>
      <c r="H1575" s="25" t="str">
        <f t="shared" si="30"/>
        <v/>
      </c>
    </row>
    <row r="1576" spans="4:8">
      <c r="D1576" s="27" t="str">
        <f>IFERROR(VLOOKUP(A1576,テーブル11[],2,FALSE),"")</f>
        <v/>
      </c>
      <c r="E1576" s="25" t="str">
        <f>IFERROR(VLOOKUP($B1576,テーブル12[],2,FALSE),"")</f>
        <v/>
      </c>
      <c r="F1576" s="25" t="str">
        <f>IFERROR(VLOOKUP($B1576,テーブル12[],3,FALSE),"")</f>
        <v/>
      </c>
      <c r="G1576" s="31" t="str">
        <f>IFERROR(VLOOKUP($B1576,テーブル12[],4,FALSE),"")</f>
        <v/>
      </c>
      <c r="H1576" s="25" t="str">
        <f t="shared" si="30"/>
        <v/>
      </c>
    </row>
    <row r="1577" spans="4:8">
      <c r="D1577" s="27" t="str">
        <f>IFERROR(VLOOKUP(A1577,テーブル11[],2,FALSE),"")</f>
        <v/>
      </c>
      <c r="E1577" s="25" t="str">
        <f>IFERROR(VLOOKUP($B1577,テーブル12[],2,FALSE),"")</f>
        <v/>
      </c>
      <c r="F1577" s="25" t="str">
        <f>IFERROR(VLOOKUP($B1577,テーブル12[],3,FALSE),"")</f>
        <v/>
      </c>
      <c r="G1577" s="31" t="str">
        <f>IFERROR(VLOOKUP($B1577,テーブル12[],4,FALSE),"")</f>
        <v/>
      </c>
      <c r="H1577" s="25" t="str">
        <f t="shared" si="30"/>
        <v/>
      </c>
    </row>
    <row r="1578" spans="4:8">
      <c r="D1578" s="27" t="str">
        <f>IFERROR(VLOOKUP(A1578,テーブル11[],2,FALSE),"")</f>
        <v/>
      </c>
      <c r="E1578" s="25" t="str">
        <f>IFERROR(VLOOKUP($B1578,テーブル12[],2,FALSE),"")</f>
        <v/>
      </c>
      <c r="F1578" s="25" t="str">
        <f>IFERROR(VLOOKUP($B1578,テーブル12[],3,FALSE),"")</f>
        <v/>
      </c>
      <c r="G1578" s="31" t="str">
        <f>IFERROR(VLOOKUP($B1578,テーブル12[],4,FALSE),"")</f>
        <v/>
      </c>
      <c r="H1578" s="25" t="str">
        <f t="shared" si="30"/>
        <v/>
      </c>
    </row>
    <row r="1579" spans="4:8">
      <c r="D1579" s="27" t="str">
        <f>IFERROR(VLOOKUP(A1579,テーブル11[],2,FALSE),"")</f>
        <v/>
      </c>
      <c r="E1579" s="25" t="str">
        <f>IFERROR(VLOOKUP($B1579,テーブル12[],2,FALSE),"")</f>
        <v/>
      </c>
      <c r="F1579" s="25" t="str">
        <f>IFERROR(VLOOKUP($B1579,テーブル12[],3,FALSE),"")</f>
        <v/>
      </c>
      <c r="G1579" s="31" t="str">
        <f>IFERROR(VLOOKUP($B1579,テーブル12[],4,FALSE),"")</f>
        <v/>
      </c>
      <c r="H1579" s="25" t="str">
        <f t="shared" si="30"/>
        <v/>
      </c>
    </row>
    <row r="1580" spans="4:8">
      <c r="D1580" s="27" t="str">
        <f>IFERROR(VLOOKUP(A1580,テーブル11[],2,FALSE),"")</f>
        <v/>
      </c>
      <c r="E1580" s="25" t="str">
        <f>IFERROR(VLOOKUP($B1580,テーブル12[],2,FALSE),"")</f>
        <v/>
      </c>
      <c r="F1580" s="25" t="str">
        <f>IFERROR(VLOOKUP($B1580,テーブル12[],3,FALSE),"")</f>
        <v/>
      </c>
      <c r="G1580" s="31" t="str">
        <f>IFERROR(VLOOKUP($B1580,テーブル12[],4,FALSE),"")</f>
        <v/>
      </c>
      <c r="H1580" s="25" t="str">
        <f t="shared" si="30"/>
        <v/>
      </c>
    </row>
    <row r="1581" spans="4:8">
      <c r="D1581" s="27" t="str">
        <f>IFERROR(VLOOKUP(A1581,テーブル11[],2,FALSE),"")</f>
        <v/>
      </c>
      <c r="E1581" s="25" t="str">
        <f>IFERROR(VLOOKUP($B1581,テーブル12[],2,FALSE),"")</f>
        <v/>
      </c>
      <c r="F1581" s="25" t="str">
        <f>IFERROR(VLOOKUP($B1581,テーブル12[],3,FALSE),"")</f>
        <v/>
      </c>
      <c r="G1581" s="31" t="str">
        <f>IFERROR(VLOOKUP($B1581,テーブル12[],4,FALSE),"")</f>
        <v/>
      </c>
      <c r="H1581" s="25" t="str">
        <f t="shared" si="30"/>
        <v/>
      </c>
    </row>
    <row r="1582" spans="4:8">
      <c r="D1582" s="27" t="str">
        <f>IFERROR(VLOOKUP(A1582,テーブル11[],2,FALSE),"")</f>
        <v/>
      </c>
      <c r="E1582" s="25" t="str">
        <f>IFERROR(VLOOKUP($B1582,テーブル12[],2,FALSE),"")</f>
        <v/>
      </c>
      <c r="F1582" s="25" t="str">
        <f>IFERROR(VLOOKUP($B1582,テーブル12[],3,FALSE),"")</f>
        <v/>
      </c>
      <c r="G1582" s="31" t="str">
        <f>IFERROR(VLOOKUP($B1582,テーブル12[],4,FALSE),"")</f>
        <v/>
      </c>
      <c r="H1582" s="25" t="str">
        <f t="shared" si="30"/>
        <v/>
      </c>
    </row>
    <row r="1583" spans="4:8">
      <c r="D1583" s="27" t="str">
        <f>IFERROR(VLOOKUP(A1583,テーブル11[],2,FALSE),"")</f>
        <v/>
      </c>
      <c r="E1583" s="25" t="str">
        <f>IFERROR(VLOOKUP($B1583,テーブル12[],2,FALSE),"")</f>
        <v/>
      </c>
      <c r="F1583" s="25" t="str">
        <f>IFERROR(VLOOKUP($B1583,テーブル12[],3,FALSE),"")</f>
        <v/>
      </c>
      <c r="G1583" s="31" t="str">
        <f>IFERROR(VLOOKUP($B1583,テーブル12[],4,FALSE),"")</f>
        <v/>
      </c>
      <c r="H1583" s="25" t="str">
        <f t="shared" si="30"/>
        <v/>
      </c>
    </row>
    <row r="1584" spans="4:8">
      <c r="D1584" s="27" t="str">
        <f>IFERROR(VLOOKUP(A1584,テーブル11[],2,FALSE),"")</f>
        <v/>
      </c>
      <c r="E1584" s="25" t="str">
        <f>IFERROR(VLOOKUP($B1584,テーブル12[],2,FALSE),"")</f>
        <v/>
      </c>
      <c r="F1584" s="25" t="str">
        <f>IFERROR(VLOOKUP($B1584,テーブル12[],3,FALSE),"")</f>
        <v/>
      </c>
      <c r="G1584" s="31" t="str">
        <f>IFERROR(VLOOKUP($B1584,テーブル12[],4,FALSE),"")</f>
        <v/>
      </c>
      <c r="H1584" s="25" t="str">
        <f t="shared" si="30"/>
        <v/>
      </c>
    </row>
    <row r="1585" spans="4:8">
      <c r="D1585" s="27" t="str">
        <f>IFERROR(VLOOKUP(A1585,テーブル11[],2,FALSE),"")</f>
        <v/>
      </c>
      <c r="E1585" s="25" t="str">
        <f>IFERROR(VLOOKUP($B1585,テーブル12[],2,FALSE),"")</f>
        <v/>
      </c>
      <c r="F1585" s="25" t="str">
        <f>IFERROR(VLOOKUP($B1585,テーブル12[],3,FALSE),"")</f>
        <v/>
      </c>
      <c r="G1585" s="31" t="str">
        <f>IFERROR(VLOOKUP($B1585,テーブル12[],4,FALSE),"")</f>
        <v/>
      </c>
      <c r="H1585" s="25" t="str">
        <f t="shared" si="30"/>
        <v/>
      </c>
    </row>
    <row r="1586" spans="4:8">
      <c r="D1586" s="27" t="str">
        <f>IFERROR(VLOOKUP(A1586,テーブル11[],2,FALSE),"")</f>
        <v/>
      </c>
      <c r="E1586" s="25" t="str">
        <f>IFERROR(VLOOKUP($B1586,テーブル12[],2,FALSE),"")</f>
        <v/>
      </c>
      <c r="F1586" s="25" t="str">
        <f>IFERROR(VLOOKUP($B1586,テーブル12[],3,FALSE),"")</f>
        <v/>
      </c>
      <c r="G1586" s="31" t="str">
        <f>IFERROR(VLOOKUP($B1586,テーブル12[],4,FALSE),"")</f>
        <v/>
      </c>
      <c r="H1586" s="25" t="str">
        <f t="shared" si="30"/>
        <v/>
      </c>
    </row>
    <row r="1587" spans="4:8">
      <c r="D1587" s="27" t="str">
        <f>IFERROR(VLOOKUP(A1587,テーブル11[],2,FALSE),"")</f>
        <v/>
      </c>
      <c r="E1587" s="25" t="str">
        <f>IFERROR(VLOOKUP($B1587,テーブル12[],2,FALSE),"")</f>
        <v/>
      </c>
      <c r="F1587" s="25" t="str">
        <f>IFERROR(VLOOKUP($B1587,テーブル12[],3,FALSE),"")</f>
        <v/>
      </c>
      <c r="G1587" s="31" t="str">
        <f>IFERROR(VLOOKUP($B1587,テーブル12[],4,FALSE),"")</f>
        <v/>
      </c>
      <c r="H1587" s="25" t="str">
        <f t="shared" si="30"/>
        <v/>
      </c>
    </row>
    <row r="1588" spans="4:8">
      <c r="D1588" s="27" t="str">
        <f>IFERROR(VLOOKUP(A1588,テーブル11[],2,FALSE),"")</f>
        <v/>
      </c>
      <c r="E1588" s="25" t="str">
        <f>IFERROR(VLOOKUP($B1588,テーブル12[],2,FALSE),"")</f>
        <v/>
      </c>
      <c r="F1588" s="25" t="str">
        <f>IFERROR(VLOOKUP($B1588,テーブル12[],3,FALSE),"")</f>
        <v/>
      </c>
      <c r="G1588" s="31" t="str">
        <f>IFERROR(VLOOKUP($B1588,テーブル12[],4,FALSE),"")</f>
        <v/>
      </c>
      <c r="H1588" s="25" t="str">
        <f t="shared" si="30"/>
        <v/>
      </c>
    </row>
    <row r="1589" spans="4:8">
      <c r="D1589" s="27" t="str">
        <f>IFERROR(VLOOKUP(A1589,テーブル11[],2,FALSE),"")</f>
        <v/>
      </c>
      <c r="E1589" s="25" t="str">
        <f>IFERROR(VLOOKUP($B1589,テーブル12[],2,FALSE),"")</f>
        <v/>
      </c>
      <c r="F1589" s="25" t="str">
        <f>IFERROR(VLOOKUP($B1589,テーブル12[],3,FALSE),"")</f>
        <v/>
      </c>
      <c r="G1589" s="31" t="str">
        <f>IFERROR(VLOOKUP($B1589,テーブル12[],4,FALSE),"")</f>
        <v/>
      </c>
      <c r="H1589" s="25" t="str">
        <f t="shared" si="30"/>
        <v/>
      </c>
    </row>
    <row r="1590" spans="4:8">
      <c r="D1590" s="27" t="str">
        <f>IFERROR(VLOOKUP(A1590,テーブル11[],2,FALSE),"")</f>
        <v/>
      </c>
      <c r="E1590" s="25" t="str">
        <f>IFERROR(VLOOKUP($B1590,テーブル12[],2,FALSE),"")</f>
        <v/>
      </c>
      <c r="F1590" s="25" t="str">
        <f>IFERROR(VLOOKUP($B1590,テーブル12[],3,FALSE),"")</f>
        <v/>
      </c>
      <c r="G1590" s="31" t="str">
        <f>IFERROR(VLOOKUP($B1590,テーブル12[],4,FALSE),"")</f>
        <v/>
      </c>
      <c r="H1590" s="25" t="str">
        <f t="shared" si="30"/>
        <v/>
      </c>
    </row>
    <row r="1591" spans="4:8">
      <c r="D1591" s="27" t="str">
        <f>IFERROR(VLOOKUP(A1591,テーブル11[],2,FALSE),"")</f>
        <v/>
      </c>
      <c r="E1591" s="25" t="str">
        <f>IFERROR(VLOOKUP($B1591,テーブル12[],2,FALSE),"")</f>
        <v/>
      </c>
      <c r="F1591" s="25" t="str">
        <f>IFERROR(VLOOKUP($B1591,テーブル12[],3,FALSE),"")</f>
        <v/>
      </c>
      <c r="G1591" s="31" t="str">
        <f>IFERROR(VLOOKUP($B1591,テーブル12[],4,FALSE),"")</f>
        <v/>
      </c>
      <c r="H1591" s="25" t="str">
        <f t="shared" si="30"/>
        <v/>
      </c>
    </row>
    <row r="1592" spans="4:8">
      <c r="D1592" s="27" t="str">
        <f>IFERROR(VLOOKUP(A1592,テーブル11[],2,FALSE),"")</f>
        <v/>
      </c>
      <c r="E1592" s="25" t="str">
        <f>IFERROR(VLOOKUP($B1592,テーブル12[],2,FALSE),"")</f>
        <v/>
      </c>
      <c r="F1592" s="25" t="str">
        <f>IFERROR(VLOOKUP($B1592,テーブル12[],3,FALSE),"")</f>
        <v/>
      </c>
      <c r="G1592" s="31" t="str">
        <f>IFERROR(VLOOKUP($B1592,テーブル12[],4,FALSE),"")</f>
        <v/>
      </c>
      <c r="H1592" s="25" t="str">
        <f t="shared" si="30"/>
        <v/>
      </c>
    </row>
    <row r="1593" spans="4:8">
      <c r="D1593" s="27" t="str">
        <f>IFERROR(VLOOKUP(A1593,テーブル11[],2,FALSE),"")</f>
        <v/>
      </c>
      <c r="E1593" s="25" t="str">
        <f>IFERROR(VLOOKUP($B1593,テーブル12[],2,FALSE),"")</f>
        <v/>
      </c>
      <c r="F1593" s="25" t="str">
        <f>IFERROR(VLOOKUP($B1593,テーブル12[],3,FALSE),"")</f>
        <v/>
      </c>
      <c r="G1593" s="31" t="str">
        <f>IFERROR(VLOOKUP($B1593,テーブル12[],4,FALSE),"")</f>
        <v/>
      </c>
      <c r="H1593" s="25" t="str">
        <f t="shared" si="30"/>
        <v/>
      </c>
    </row>
    <row r="1594" spans="4:8">
      <c r="D1594" s="27" t="str">
        <f>IFERROR(VLOOKUP(A1594,テーブル11[],2,FALSE),"")</f>
        <v/>
      </c>
      <c r="E1594" s="25" t="str">
        <f>IFERROR(VLOOKUP($B1594,テーブル12[],2,FALSE),"")</f>
        <v/>
      </c>
      <c r="F1594" s="25" t="str">
        <f>IFERROR(VLOOKUP($B1594,テーブル12[],3,FALSE),"")</f>
        <v/>
      </c>
      <c r="G1594" s="31" t="str">
        <f>IFERROR(VLOOKUP($B1594,テーブル12[],4,FALSE),"")</f>
        <v/>
      </c>
      <c r="H1594" s="25" t="str">
        <f t="shared" si="30"/>
        <v/>
      </c>
    </row>
    <row r="1595" spans="4:8">
      <c r="D1595" s="27" t="str">
        <f>IFERROR(VLOOKUP(A1595,テーブル11[],2,FALSE),"")</f>
        <v/>
      </c>
      <c r="E1595" s="25" t="str">
        <f>IFERROR(VLOOKUP($B1595,テーブル12[],2,FALSE),"")</f>
        <v/>
      </c>
      <c r="F1595" s="25" t="str">
        <f>IFERROR(VLOOKUP($B1595,テーブル12[],3,FALSE),"")</f>
        <v/>
      </c>
      <c r="G1595" s="31" t="str">
        <f>IFERROR(VLOOKUP($B1595,テーブル12[],4,FALSE),"")</f>
        <v/>
      </c>
      <c r="H1595" s="25" t="str">
        <f t="shared" si="30"/>
        <v/>
      </c>
    </row>
    <row r="1596" spans="4:8">
      <c r="D1596" s="27" t="str">
        <f>IFERROR(VLOOKUP(A1596,テーブル11[],2,FALSE),"")</f>
        <v/>
      </c>
      <c r="E1596" s="25" t="str">
        <f>IFERROR(VLOOKUP($B1596,テーブル12[],2,FALSE),"")</f>
        <v/>
      </c>
      <c r="F1596" s="25" t="str">
        <f>IFERROR(VLOOKUP($B1596,テーブル12[],3,FALSE),"")</f>
        <v/>
      </c>
      <c r="G1596" s="31" t="str">
        <f>IFERROR(VLOOKUP($B1596,テーブル12[],4,FALSE),"")</f>
        <v/>
      </c>
      <c r="H1596" s="25" t="str">
        <f t="shared" si="30"/>
        <v/>
      </c>
    </row>
    <row r="1597" spans="4:8">
      <c r="D1597" s="27" t="str">
        <f>IFERROR(VLOOKUP(A1597,テーブル11[],2,FALSE),"")</f>
        <v/>
      </c>
      <c r="E1597" s="25" t="str">
        <f>IFERROR(VLOOKUP($B1597,テーブル12[],2,FALSE),"")</f>
        <v/>
      </c>
      <c r="F1597" s="25" t="str">
        <f>IFERROR(VLOOKUP($B1597,テーブル12[],3,FALSE),"")</f>
        <v/>
      </c>
      <c r="G1597" s="31" t="str">
        <f>IFERROR(VLOOKUP($B1597,テーブル12[],4,FALSE),"")</f>
        <v/>
      </c>
      <c r="H1597" s="25" t="str">
        <f t="shared" si="30"/>
        <v/>
      </c>
    </row>
    <row r="1598" spans="4:8">
      <c r="D1598" s="27" t="str">
        <f>IFERROR(VLOOKUP(A1598,テーブル11[],2,FALSE),"")</f>
        <v/>
      </c>
      <c r="E1598" s="25" t="str">
        <f>IFERROR(VLOOKUP($B1598,テーブル12[],2,FALSE),"")</f>
        <v/>
      </c>
      <c r="F1598" s="25" t="str">
        <f>IFERROR(VLOOKUP($B1598,テーブル12[],3,FALSE),"")</f>
        <v/>
      </c>
      <c r="G1598" s="31" t="str">
        <f>IFERROR(VLOOKUP($B1598,テーブル12[],4,FALSE),"")</f>
        <v/>
      </c>
      <c r="H1598" s="25" t="str">
        <f t="shared" si="30"/>
        <v/>
      </c>
    </row>
    <row r="1599" spans="4:8">
      <c r="D1599" s="27" t="str">
        <f>IFERROR(VLOOKUP(A1599,テーブル11[],2,FALSE),"")</f>
        <v/>
      </c>
      <c r="E1599" s="25" t="str">
        <f>IFERROR(VLOOKUP($B1599,テーブル12[],2,FALSE),"")</f>
        <v/>
      </c>
      <c r="F1599" s="25" t="str">
        <f>IFERROR(VLOOKUP($B1599,テーブル12[],3,FALSE),"")</f>
        <v/>
      </c>
      <c r="G1599" s="31" t="str">
        <f>IFERROR(VLOOKUP($B1599,テーブル12[],4,FALSE),"")</f>
        <v/>
      </c>
      <c r="H1599" s="25" t="str">
        <f t="shared" si="30"/>
        <v/>
      </c>
    </row>
    <row r="1600" spans="4:8">
      <c r="D1600" s="27" t="str">
        <f>IFERROR(VLOOKUP(A1600,テーブル11[],2,FALSE),"")</f>
        <v/>
      </c>
      <c r="E1600" s="25" t="str">
        <f>IFERROR(VLOOKUP($B1600,テーブル12[],2,FALSE),"")</f>
        <v/>
      </c>
      <c r="F1600" s="25" t="str">
        <f>IFERROR(VLOOKUP($B1600,テーブル12[],3,FALSE),"")</f>
        <v/>
      </c>
      <c r="G1600" s="31" t="str">
        <f>IFERROR(VLOOKUP($B1600,テーブル12[],4,FALSE),"")</f>
        <v/>
      </c>
      <c r="H1600" s="25" t="str">
        <f t="shared" si="30"/>
        <v/>
      </c>
    </row>
    <row r="1601" spans="4:8">
      <c r="D1601" s="27" t="str">
        <f>IFERROR(VLOOKUP(A1601,テーブル11[],2,FALSE),"")</f>
        <v/>
      </c>
      <c r="E1601" s="25" t="str">
        <f>IFERROR(VLOOKUP($B1601,テーブル12[],2,FALSE),"")</f>
        <v/>
      </c>
      <c r="F1601" s="25" t="str">
        <f>IFERROR(VLOOKUP($B1601,テーブル12[],3,FALSE),"")</f>
        <v/>
      </c>
      <c r="G1601" s="31" t="str">
        <f>IFERROR(VLOOKUP($B1601,テーブル12[],4,FALSE),"")</f>
        <v/>
      </c>
      <c r="H1601" s="25" t="str">
        <f t="shared" si="30"/>
        <v/>
      </c>
    </row>
    <row r="1602" spans="4:8">
      <c r="D1602" s="27" t="str">
        <f>IFERROR(VLOOKUP(A1602,テーブル11[],2,FALSE),"")</f>
        <v/>
      </c>
      <c r="E1602" s="25" t="str">
        <f>IFERROR(VLOOKUP($B1602,テーブル12[],2,FALSE),"")</f>
        <v/>
      </c>
      <c r="F1602" s="25" t="str">
        <f>IFERROR(VLOOKUP($B1602,テーブル12[],3,FALSE),"")</f>
        <v/>
      </c>
      <c r="G1602" s="31" t="str">
        <f>IFERROR(VLOOKUP($B1602,テーブル12[],4,FALSE),"")</f>
        <v/>
      </c>
      <c r="H1602" s="25" t="str">
        <f t="shared" ref="H1602:H1665" si="31">IF(C1602=0,"",C1602)</f>
        <v/>
      </c>
    </row>
    <row r="1603" spans="4:8">
      <c r="D1603" s="27" t="str">
        <f>IFERROR(VLOOKUP(A1603,テーブル11[],2,FALSE),"")</f>
        <v/>
      </c>
      <c r="E1603" s="25" t="str">
        <f>IFERROR(VLOOKUP($B1603,テーブル12[],2,FALSE),"")</f>
        <v/>
      </c>
      <c r="F1603" s="25" t="str">
        <f>IFERROR(VLOOKUP($B1603,テーブル12[],3,FALSE),"")</f>
        <v/>
      </c>
      <c r="G1603" s="31" t="str">
        <f>IFERROR(VLOOKUP($B1603,テーブル12[],4,FALSE),"")</f>
        <v/>
      </c>
      <c r="H1603" s="25" t="str">
        <f t="shared" si="31"/>
        <v/>
      </c>
    </row>
    <row r="1604" spans="4:8">
      <c r="D1604" s="27" t="str">
        <f>IFERROR(VLOOKUP(A1604,テーブル11[],2,FALSE),"")</f>
        <v/>
      </c>
      <c r="E1604" s="25" t="str">
        <f>IFERROR(VLOOKUP($B1604,テーブル12[],2,FALSE),"")</f>
        <v/>
      </c>
      <c r="F1604" s="25" t="str">
        <f>IFERROR(VLOOKUP($B1604,テーブル12[],3,FALSE),"")</f>
        <v/>
      </c>
      <c r="G1604" s="31" t="str">
        <f>IFERROR(VLOOKUP($B1604,テーブル12[],4,FALSE),"")</f>
        <v/>
      </c>
      <c r="H1604" s="25" t="str">
        <f t="shared" si="31"/>
        <v/>
      </c>
    </row>
    <row r="1605" spans="4:8">
      <c r="D1605" s="27" t="str">
        <f>IFERROR(VLOOKUP(A1605,テーブル11[],2,FALSE),"")</f>
        <v/>
      </c>
      <c r="E1605" s="25" t="str">
        <f>IFERROR(VLOOKUP($B1605,テーブル12[],2,FALSE),"")</f>
        <v/>
      </c>
      <c r="F1605" s="25" t="str">
        <f>IFERROR(VLOOKUP($B1605,テーブル12[],3,FALSE),"")</f>
        <v/>
      </c>
      <c r="G1605" s="31" t="str">
        <f>IFERROR(VLOOKUP($B1605,テーブル12[],4,FALSE),"")</f>
        <v/>
      </c>
      <c r="H1605" s="25" t="str">
        <f t="shared" si="31"/>
        <v/>
      </c>
    </row>
    <row r="1606" spans="4:8">
      <c r="D1606" s="27" t="str">
        <f>IFERROR(VLOOKUP(A1606,テーブル11[],2,FALSE),"")</f>
        <v/>
      </c>
      <c r="E1606" s="25" t="str">
        <f>IFERROR(VLOOKUP($B1606,テーブル12[],2,FALSE),"")</f>
        <v/>
      </c>
      <c r="F1606" s="25" t="str">
        <f>IFERROR(VLOOKUP($B1606,テーブル12[],3,FALSE),"")</f>
        <v/>
      </c>
      <c r="G1606" s="31" t="str">
        <f>IFERROR(VLOOKUP($B1606,テーブル12[],4,FALSE),"")</f>
        <v/>
      </c>
      <c r="H1606" s="25" t="str">
        <f t="shared" si="31"/>
        <v/>
      </c>
    </row>
    <row r="1607" spans="4:8">
      <c r="D1607" s="27" t="str">
        <f>IFERROR(VLOOKUP(A1607,テーブル11[],2,FALSE),"")</f>
        <v/>
      </c>
      <c r="E1607" s="25" t="str">
        <f>IFERROR(VLOOKUP($B1607,テーブル12[],2,FALSE),"")</f>
        <v/>
      </c>
      <c r="F1607" s="25" t="str">
        <f>IFERROR(VLOOKUP($B1607,テーブル12[],3,FALSE),"")</f>
        <v/>
      </c>
      <c r="G1607" s="31" t="str">
        <f>IFERROR(VLOOKUP($B1607,テーブル12[],4,FALSE),"")</f>
        <v/>
      </c>
      <c r="H1607" s="25" t="str">
        <f t="shared" si="31"/>
        <v/>
      </c>
    </row>
    <row r="1608" spans="4:8">
      <c r="D1608" s="27" t="str">
        <f>IFERROR(VLOOKUP(A1608,テーブル11[],2,FALSE),"")</f>
        <v/>
      </c>
      <c r="E1608" s="25" t="str">
        <f>IFERROR(VLOOKUP($B1608,テーブル12[],2,FALSE),"")</f>
        <v/>
      </c>
      <c r="F1608" s="25" t="str">
        <f>IFERROR(VLOOKUP($B1608,テーブル12[],3,FALSE),"")</f>
        <v/>
      </c>
      <c r="G1608" s="31" t="str">
        <f>IFERROR(VLOOKUP($B1608,テーブル12[],4,FALSE),"")</f>
        <v/>
      </c>
      <c r="H1608" s="25" t="str">
        <f t="shared" si="31"/>
        <v/>
      </c>
    </row>
    <row r="1609" spans="4:8">
      <c r="D1609" s="27" t="str">
        <f>IFERROR(VLOOKUP(A1609,テーブル11[],2,FALSE),"")</f>
        <v/>
      </c>
      <c r="E1609" s="25" t="str">
        <f>IFERROR(VLOOKUP($B1609,テーブル12[],2,FALSE),"")</f>
        <v/>
      </c>
      <c r="F1609" s="25" t="str">
        <f>IFERROR(VLOOKUP($B1609,テーブル12[],3,FALSE),"")</f>
        <v/>
      </c>
      <c r="G1609" s="31" t="str">
        <f>IFERROR(VLOOKUP($B1609,テーブル12[],4,FALSE),"")</f>
        <v/>
      </c>
      <c r="H1609" s="25" t="str">
        <f t="shared" si="31"/>
        <v/>
      </c>
    </row>
    <row r="1610" spans="4:8">
      <c r="D1610" s="27" t="str">
        <f>IFERROR(VLOOKUP(A1610,テーブル11[],2,FALSE),"")</f>
        <v/>
      </c>
      <c r="E1610" s="25" t="str">
        <f>IFERROR(VLOOKUP($B1610,テーブル12[],2,FALSE),"")</f>
        <v/>
      </c>
      <c r="F1610" s="25" t="str">
        <f>IFERROR(VLOOKUP($B1610,テーブル12[],3,FALSE),"")</f>
        <v/>
      </c>
      <c r="G1610" s="31" t="str">
        <f>IFERROR(VLOOKUP($B1610,テーブル12[],4,FALSE),"")</f>
        <v/>
      </c>
      <c r="H1610" s="25" t="str">
        <f t="shared" si="31"/>
        <v/>
      </c>
    </row>
    <row r="1611" spans="4:8">
      <c r="D1611" s="27" t="str">
        <f>IFERROR(VLOOKUP(A1611,テーブル11[],2,FALSE),"")</f>
        <v/>
      </c>
      <c r="E1611" s="25" t="str">
        <f>IFERROR(VLOOKUP($B1611,テーブル12[],2,FALSE),"")</f>
        <v/>
      </c>
      <c r="F1611" s="25" t="str">
        <f>IFERROR(VLOOKUP($B1611,テーブル12[],3,FALSE),"")</f>
        <v/>
      </c>
      <c r="G1611" s="31" t="str">
        <f>IFERROR(VLOOKUP($B1611,テーブル12[],4,FALSE),"")</f>
        <v/>
      </c>
      <c r="H1611" s="25" t="str">
        <f t="shared" si="31"/>
        <v/>
      </c>
    </row>
    <row r="1612" spans="4:8">
      <c r="D1612" s="27" t="str">
        <f>IFERROR(VLOOKUP(A1612,テーブル11[],2,FALSE),"")</f>
        <v/>
      </c>
      <c r="E1612" s="25" t="str">
        <f>IFERROR(VLOOKUP($B1612,テーブル12[],2,FALSE),"")</f>
        <v/>
      </c>
      <c r="F1612" s="25" t="str">
        <f>IFERROR(VLOOKUP($B1612,テーブル12[],3,FALSE),"")</f>
        <v/>
      </c>
      <c r="G1612" s="31" t="str">
        <f>IFERROR(VLOOKUP($B1612,テーブル12[],4,FALSE),"")</f>
        <v/>
      </c>
      <c r="H1612" s="25" t="str">
        <f t="shared" si="31"/>
        <v/>
      </c>
    </row>
    <row r="1613" spans="4:8">
      <c r="D1613" s="27" t="str">
        <f>IFERROR(VLOOKUP(A1613,テーブル11[],2,FALSE),"")</f>
        <v/>
      </c>
      <c r="E1613" s="25" t="str">
        <f>IFERROR(VLOOKUP($B1613,テーブル12[],2,FALSE),"")</f>
        <v/>
      </c>
      <c r="F1613" s="25" t="str">
        <f>IFERROR(VLOOKUP($B1613,テーブル12[],3,FALSE),"")</f>
        <v/>
      </c>
      <c r="G1613" s="31" t="str">
        <f>IFERROR(VLOOKUP($B1613,テーブル12[],4,FALSE),"")</f>
        <v/>
      </c>
      <c r="H1613" s="25" t="str">
        <f t="shared" si="31"/>
        <v/>
      </c>
    </row>
    <row r="1614" spans="4:8">
      <c r="D1614" s="27" t="str">
        <f>IFERROR(VLOOKUP(A1614,テーブル11[],2,FALSE),"")</f>
        <v/>
      </c>
      <c r="E1614" s="25" t="str">
        <f>IFERROR(VLOOKUP($B1614,テーブル12[],2,FALSE),"")</f>
        <v/>
      </c>
      <c r="F1614" s="25" t="str">
        <f>IFERROR(VLOOKUP($B1614,テーブル12[],3,FALSE),"")</f>
        <v/>
      </c>
      <c r="G1614" s="31" t="str">
        <f>IFERROR(VLOOKUP($B1614,テーブル12[],4,FALSE),"")</f>
        <v/>
      </c>
      <c r="H1614" s="25" t="str">
        <f t="shared" si="31"/>
        <v/>
      </c>
    </row>
    <row r="1615" spans="4:8">
      <c r="D1615" s="27" t="str">
        <f>IFERROR(VLOOKUP(A1615,テーブル11[],2,FALSE),"")</f>
        <v/>
      </c>
      <c r="E1615" s="25" t="str">
        <f>IFERROR(VLOOKUP($B1615,テーブル12[],2,FALSE),"")</f>
        <v/>
      </c>
      <c r="F1615" s="25" t="str">
        <f>IFERROR(VLOOKUP($B1615,テーブル12[],3,FALSE),"")</f>
        <v/>
      </c>
      <c r="G1615" s="31" t="str">
        <f>IFERROR(VLOOKUP($B1615,テーブル12[],4,FALSE),"")</f>
        <v/>
      </c>
      <c r="H1615" s="25" t="str">
        <f t="shared" si="31"/>
        <v/>
      </c>
    </row>
    <row r="1616" spans="4:8">
      <c r="D1616" s="27" t="str">
        <f>IFERROR(VLOOKUP(A1616,テーブル11[],2,FALSE),"")</f>
        <v/>
      </c>
      <c r="E1616" s="25" t="str">
        <f>IFERROR(VLOOKUP($B1616,テーブル12[],2,FALSE),"")</f>
        <v/>
      </c>
      <c r="F1616" s="25" t="str">
        <f>IFERROR(VLOOKUP($B1616,テーブル12[],3,FALSE),"")</f>
        <v/>
      </c>
      <c r="G1616" s="31" t="str">
        <f>IFERROR(VLOOKUP($B1616,テーブル12[],4,FALSE),"")</f>
        <v/>
      </c>
      <c r="H1616" s="25" t="str">
        <f t="shared" si="31"/>
        <v/>
      </c>
    </row>
    <row r="1617" spans="4:8">
      <c r="D1617" s="27" t="str">
        <f>IFERROR(VLOOKUP(A1617,テーブル11[],2,FALSE),"")</f>
        <v/>
      </c>
      <c r="E1617" s="25" t="str">
        <f>IFERROR(VLOOKUP($B1617,テーブル12[],2,FALSE),"")</f>
        <v/>
      </c>
      <c r="F1617" s="25" t="str">
        <f>IFERROR(VLOOKUP($B1617,テーブル12[],3,FALSE),"")</f>
        <v/>
      </c>
      <c r="G1617" s="31" t="str">
        <f>IFERROR(VLOOKUP($B1617,テーブル12[],4,FALSE),"")</f>
        <v/>
      </c>
      <c r="H1617" s="25" t="str">
        <f t="shared" si="31"/>
        <v/>
      </c>
    </row>
    <row r="1618" spans="4:8">
      <c r="D1618" s="27" t="str">
        <f>IFERROR(VLOOKUP(A1618,テーブル11[],2,FALSE),"")</f>
        <v/>
      </c>
      <c r="E1618" s="25" t="str">
        <f>IFERROR(VLOOKUP($B1618,テーブル12[],2,FALSE),"")</f>
        <v/>
      </c>
      <c r="F1618" s="25" t="str">
        <f>IFERROR(VLOOKUP($B1618,テーブル12[],3,FALSE),"")</f>
        <v/>
      </c>
      <c r="G1618" s="31" t="str">
        <f>IFERROR(VLOOKUP($B1618,テーブル12[],4,FALSE),"")</f>
        <v/>
      </c>
      <c r="H1618" s="25" t="str">
        <f t="shared" si="31"/>
        <v/>
      </c>
    </row>
    <row r="1619" spans="4:8">
      <c r="D1619" s="27" t="str">
        <f>IFERROR(VLOOKUP(A1619,テーブル11[],2,FALSE),"")</f>
        <v/>
      </c>
      <c r="E1619" s="25" t="str">
        <f>IFERROR(VLOOKUP($B1619,テーブル12[],2,FALSE),"")</f>
        <v/>
      </c>
      <c r="F1619" s="25" t="str">
        <f>IFERROR(VLOOKUP($B1619,テーブル12[],3,FALSE),"")</f>
        <v/>
      </c>
      <c r="G1619" s="31" t="str">
        <f>IFERROR(VLOOKUP($B1619,テーブル12[],4,FALSE),"")</f>
        <v/>
      </c>
      <c r="H1619" s="25" t="str">
        <f t="shared" si="31"/>
        <v/>
      </c>
    </row>
    <row r="1620" spans="4:8">
      <c r="D1620" s="27" t="str">
        <f>IFERROR(VLOOKUP(A1620,テーブル11[],2,FALSE),"")</f>
        <v/>
      </c>
      <c r="E1620" s="25" t="str">
        <f>IFERROR(VLOOKUP($B1620,テーブル12[],2,FALSE),"")</f>
        <v/>
      </c>
      <c r="F1620" s="25" t="str">
        <f>IFERROR(VLOOKUP($B1620,テーブル12[],3,FALSE),"")</f>
        <v/>
      </c>
      <c r="G1620" s="31" t="str">
        <f>IFERROR(VLOOKUP($B1620,テーブル12[],4,FALSE),"")</f>
        <v/>
      </c>
      <c r="H1620" s="25" t="str">
        <f t="shared" si="31"/>
        <v/>
      </c>
    </row>
    <row r="1621" spans="4:8">
      <c r="D1621" s="27" t="str">
        <f>IFERROR(VLOOKUP(A1621,テーブル11[],2,FALSE),"")</f>
        <v/>
      </c>
      <c r="E1621" s="25" t="str">
        <f>IFERROR(VLOOKUP($B1621,テーブル12[],2,FALSE),"")</f>
        <v/>
      </c>
      <c r="F1621" s="25" t="str">
        <f>IFERROR(VLOOKUP($B1621,テーブル12[],3,FALSE),"")</f>
        <v/>
      </c>
      <c r="G1621" s="31" t="str">
        <f>IFERROR(VLOOKUP($B1621,テーブル12[],4,FALSE),"")</f>
        <v/>
      </c>
      <c r="H1621" s="25" t="str">
        <f t="shared" si="31"/>
        <v/>
      </c>
    </row>
    <row r="1622" spans="4:8">
      <c r="D1622" s="27" t="str">
        <f>IFERROR(VLOOKUP(A1622,テーブル11[],2,FALSE),"")</f>
        <v/>
      </c>
      <c r="E1622" s="25" t="str">
        <f>IFERROR(VLOOKUP($B1622,テーブル12[],2,FALSE),"")</f>
        <v/>
      </c>
      <c r="F1622" s="25" t="str">
        <f>IFERROR(VLOOKUP($B1622,テーブル12[],3,FALSE),"")</f>
        <v/>
      </c>
      <c r="G1622" s="31" t="str">
        <f>IFERROR(VLOOKUP($B1622,テーブル12[],4,FALSE),"")</f>
        <v/>
      </c>
      <c r="H1622" s="25" t="str">
        <f t="shared" si="31"/>
        <v/>
      </c>
    </row>
    <row r="1623" spans="4:8">
      <c r="D1623" s="27" t="str">
        <f>IFERROR(VLOOKUP(A1623,テーブル11[],2,FALSE),"")</f>
        <v/>
      </c>
      <c r="E1623" s="25" t="str">
        <f>IFERROR(VLOOKUP($B1623,テーブル12[],2,FALSE),"")</f>
        <v/>
      </c>
      <c r="F1623" s="25" t="str">
        <f>IFERROR(VLOOKUP($B1623,テーブル12[],3,FALSE),"")</f>
        <v/>
      </c>
      <c r="G1623" s="31" t="str">
        <f>IFERROR(VLOOKUP($B1623,テーブル12[],4,FALSE),"")</f>
        <v/>
      </c>
      <c r="H1623" s="25" t="str">
        <f t="shared" si="31"/>
        <v/>
      </c>
    </row>
    <row r="1624" spans="4:8">
      <c r="D1624" s="27" t="str">
        <f>IFERROR(VLOOKUP(A1624,テーブル11[],2,FALSE),"")</f>
        <v/>
      </c>
      <c r="E1624" s="25" t="str">
        <f>IFERROR(VLOOKUP($B1624,テーブル12[],2,FALSE),"")</f>
        <v/>
      </c>
      <c r="F1624" s="25" t="str">
        <f>IFERROR(VLOOKUP($B1624,テーブル12[],3,FALSE),"")</f>
        <v/>
      </c>
      <c r="G1624" s="31" t="str">
        <f>IFERROR(VLOOKUP($B1624,テーブル12[],4,FALSE),"")</f>
        <v/>
      </c>
      <c r="H1624" s="25" t="str">
        <f t="shared" si="31"/>
        <v/>
      </c>
    </row>
    <row r="1625" spans="4:8">
      <c r="D1625" s="27" t="str">
        <f>IFERROR(VLOOKUP(A1625,テーブル11[],2,FALSE),"")</f>
        <v/>
      </c>
      <c r="E1625" s="25" t="str">
        <f>IFERROR(VLOOKUP($B1625,テーブル12[],2,FALSE),"")</f>
        <v/>
      </c>
      <c r="F1625" s="25" t="str">
        <f>IFERROR(VLOOKUP($B1625,テーブル12[],3,FALSE),"")</f>
        <v/>
      </c>
      <c r="G1625" s="31" t="str">
        <f>IFERROR(VLOOKUP($B1625,テーブル12[],4,FALSE),"")</f>
        <v/>
      </c>
      <c r="H1625" s="25" t="str">
        <f t="shared" si="31"/>
        <v/>
      </c>
    </row>
    <row r="1626" spans="4:8">
      <c r="D1626" s="27" t="str">
        <f>IFERROR(VLOOKUP(A1626,テーブル11[],2,FALSE),"")</f>
        <v/>
      </c>
      <c r="E1626" s="25" t="str">
        <f>IFERROR(VLOOKUP($B1626,テーブル12[],2,FALSE),"")</f>
        <v/>
      </c>
      <c r="F1626" s="25" t="str">
        <f>IFERROR(VLOOKUP($B1626,テーブル12[],3,FALSE),"")</f>
        <v/>
      </c>
      <c r="G1626" s="31" t="str">
        <f>IFERROR(VLOOKUP($B1626,テーブル12[],4,FALSE),"")</f>
        <v/>
      </c>
      <c r="H1626" s="25" t="str">
        <f t="shared" si="31"/>
        <v/>
      </c>
    </row>
    <row r="1627" spans="4:8">
      <c r="D1627" s="27" t="str">
        <f>IFERROR(VLOOKUP(A1627,テーブル11[],2,FALSE),"")</f>
        <v/>
      </c>
      <c r="E1627" s="25" t="str">
        <f>IFERROR(VLOOKUP($B1627,テーブル12[],2,FALSE),"")</f>
        <v/>
      </c>
      <c r="F1627" s="25" t="str">
        <f>IFERROR(VLOOKUP($B1627,テーブル12[],3,FALSE),"")</f>
        <v/>
      </c>
      <c r="G1627" s="31" t="str">
        <f>IFERROR(VLOOKUP($B1627,テーブル12[],4,FALSE),"")</f>
        <v/>
      </c>
      <c r="H1627" s="25" t="str">
        <f t="shared" si="31"/>
        <v/>
      </c>
    </row>
    <row r="1628" spans="4:8">
      <c r="D1628" s="27" t="str">
        <f>IFERROR(VLOOKUP(A1628,テーブル11[],2,FALSE),"")</f>
        <v/>
      </c>
      <c r="E1628" s="25" t="str">
        <f>IFERROR(VLOOKUP($B1628,テーブル12[],2,FALSE),"")</f>
        <v/>
      </c>
      <c r="F1628" s="25" t="str">
        <f>IFERROR(VLOOKUP($B1628,テーブル12[],3,FALSE),"")</f>
        <v/>
      </c>
      <c r="G1628" s="31" t="str">
        <f>IFERROR(VLOOKUP($B1628,テーブル12[],4,FALSE),"")</f>
        <v/>
      </c>
      <c r="H1628" s="25" t="str">
        <f t="shared" si="31"/>
        <v/>
      </c>
    </row>
    <row r="1629" spans="4:8">
      <c r="D1629" s="27" t="str">
        <f>IFERROR(VLOOKUP(A1629,テーブル11[],2,FALSE),"")</f>
        <v/>
      </c>
      <c r="E1629" s="25" t="str">
        <f>IFERROR(VLOOKUP($B1629,テーブル12[],2,FALSE),"")</f>
        <v/>
      </c>
      <c r="F1629" s="25" t="str">
        <f>IFERROR(VLOOKUP($B1629,テーブル12[],3,FALSE),"")</f>
        <v/>
      </c>
      <c r="G1629" s="31" t="str">
        <f>IFERROR(VLOOKUP($B1629,テーブル12[],4,FALSE),"")</f>
        <v/>
      </c>
      <c r="H1629" s="25" t="str">
        <f t="shared" si="31"/>
        <v/>
      </c>
    </row>
    <row r="1630" spans="4:8">
      <c r="D1630" s="27" t="str">
        <f>IFERROR(VLOOKUP(A1630,テーブル11[],2,FALSE),"")</f>
        <v/>
      </c>
      <c r="E1630" s="25" t="str">
        <f>IFERROR(VLOOKUP($B1630,テーブル12[],2,FALSE),"")</f>
        <v/>
      </c>
      <c r="F1630" s="25" t="str">
        <f>IFERROR(VLOOKUP($B1630,テーブル12[],3,FALSE),"")</f>
        <v/>
      </c>
      <c r="G1630" s="31" t="str">
        <f>IFERROR(VLOOKUP($B1630,テーブル12[],4,FALSE),"")</f>
        <v/>
      </c>
      <c r="H1630" s="25" t="str">
        <f t="shared" si="31"/>
        <v/>
      </c>
    </row>
    <row r="1631" spans="4:8">
      <c r="D1631" s="27" t="str">
        <f>IFERROR(VLOOKUP(A1631,テーブル11[],2,FALSE),"")</f>
        <v/>
      </c>
      <c r="E1631" s="25" t="str">
        <f>IFERROR(VLOOKUP($B1631,テーブル12[],2,FALSE),"")</f>
        <v/>
      </c>
      <c r="F1631" s="25" t="str">
        <f>IFERROR(VLOOKUP($B1631,テーブル12[],3,FALSE),"")</f>
        <v/>
      </c>
      <c r="G1631" s="31" t="str">
        <f>IFERROR(VLOOKUP($B1631,テーブル12[],4,FALSE),"")</f>
        <v/>
      </c>
      <c r="H1631" s="25" t="str">
        <f t="shared" si="31"/>
        <v/>
      </c>
    </row>
    <row r="1632" spans="4:8">
      <c r="D1632" s="27" t="str">
        <f>IFERROR(VLOOKUP(A1632,テーブル11[],2,FALSE),"")</f>
        <v/>
      </c>
      <c r="E1632" s="25" t="str">
        <f>IFERROR(VLOOKUP($B1632,テーブル12[],2,FALSE),"")</f>
        <v/>
      </c>
      <c r="F1632" s="25" t="str">
        <f>IFERROR(VLOOKUP($B1632,テーブル12[],3,FALSE),"")</f>
        <v/>
      </c>
      <c r="G1632" s="31" t="str">
        <f>IFERROR(VLOOKUP($B1632,テーブル12[],4,FALSE),"")</f>
        <v/>
      </c>
      <c r="H1632" s="25" t="str">
        <f t="shared" si="31"/>
        <v/>
      </c>
    </row>
    <row r="1633" spans="4:8">
      <c r="D1633" s="27" t="str">
        <f>IFERROR(VLOOKUP(A1633,テーブル11[],2,FALSE),"")</f>
        <v/>
      </c>
      <c r="E1633" s="25" t="str">
        <f>IFERROR(VLOOKUP($B1633,テーブル12[],2,FALSE),"")</f>
        <v/>
      </c>
      <c r="F1633" s="25" t="str">
        <f>IFERROR(VLOOKUP($B1633,テーブル12[],3,FALSE),"")</f>
        <v/>
      </c>
      <c r="G1633" s="31" t="str">
        <f>IFERROR(VLOOKUP($B1633,テーブル12[],4,FALSE),"")</f>
        <v/>
      </c>
      <c r="H1633" s="25" t="str">
        <f t="shared" si="31"/>
        <v/>
      </c>
    </row>
    <row r="1634" spans="4:8">
      <c r="D1634" s="27" t="str">
        <f>IFERROR(VLOOKUP(A1634,テーブル11[],2,FALSE),"")</f>
        <v/>
      </c>
      <c r="E1634" s="25" t="str">
        <f>IFERROR(VLOOKUP($B1634,テーブル12[],2,FALSE),"")</f>
        <v/>
      </c>
      <c r="F1634" s="25" t="str">
        <f>IFERROR(VLOOKUP($B1634,テーブル12[],3,FALSE),"")</f>
        <v/>
      </c>
      <c r="G1634" s="31" t="str">
        <f>IFERROR(VLOOKUP($B1634,テーブル12[],4,FALSE),"")</f>
        <v/>
      </c>
      <c r="H1634" s="25" t="str">
        <f t="shared" si="31"/>
        <v/>
      </c>
    </row>
    <row r="1635" spans="4:8">
      <c r="D1635" s="27" t="str">
        <f>IFERROR(VLOOKUP(A1635,テーブル11[],2,FALSE),"")</f>
        <v/>
      </c>
      <c r="E1635" s="25" t="str">
        <f>IFERROR(VLOOKUP($B1635,テーブル12[],2,FALSE),"")</f>
        <v/>
      </c>
      <c r="F1635" s="25" t="str">
        <f>IFERROR(VLOOKUP($B1635,テーブル12[],3,FALSE),"")</f>
        <v/>
      </c>
      <c r="G1635" s="31" t="str">
        <f>IFERROR(VLOOKUP($B1635,テーブル12[],4,FALSE),"")</f>
        <v/>
      </c>
      <c r="H1635" s="25" t="str">
        <f t="shared" si="31"/>
        <v/>
      </c>
    </row>
    <row r="1636" spans="4:8">
      <c r="D1636" s="27" t="str">
        <f>IFERROR(VLOOKUP(A1636,テーブル11[],2,FALSE),"")</f>
        <v/>
      </c>
      <c r="E1636" s="25" t="str">
        <f>IFERROR(VLOOKUP($B1636,テーブル12[],2,FALSE),"")</f>
        <v/>
      </c>
      <c r="F1636" s="25" t="str">
        <f>IFERROR(VLOOKUP($B1636,テーブル12[],3,FALSE),"")</f>
        <v/>
      </c>
      <c r="G1636" s="31" t="str">
        <f>IFERROR(VLOOKUP($B1636,テーブル12[],4,FALSE),"")</f>
        <v/>
      </c>
      <c r="H1636" s="25" t="str">
        <f t="shared" si="31"/>
        <v/>
      </c>
    </row>
    <row r="1637" spans="4:8">
      <c r="D1637" s="27" t="str">
        <f>IFERROR(VLOOKUP(A1637,テーブル11[],2,FALSE),"")</f>
        <v/>
      </c>
      <c r="E1637" s="25" t="str">
        <f>IFERROR(VLOOKUP($B1637,テーブル12[],2,FALSE),"")</f>
        <v/>
      </c>
      <c r="F1637" s="25" t="str">
        <f>IFERROR(VLOOKUP($B1637,テーブル12[],3,FALSE),"")</f>
        <v/>
      </c>
      <c r="G1637" s="31" t="str">
        <f>IFERROR(VLOOKUP($B1637,テーブル12[],4,FALSE),"")</f>
        <v/>
      </c>
      <c r="H1637" s="25" t="str">
        <f t="shared" si="31"/>
        <v/>
      </c>
    </row>
    <row r="1638" spans="4:8">
      <c r="D1638" s="27" t="str">
        <f>IFERROR(VLOOKUP(A1638,テーブル11[],2,FALSE),"")</f>
        <v/>
      </c>
      <c r="E1638" s="25" t="str">
        <f>IFERROR(VLOOKUP($B1638,テーブル12[],2,FALSE),"")</f>
        <v/>
      </c>
      <c r="F1638" s="25" t="str">
        <f>IFERROR(VLOOKUP($B1638,テーブル12[],3,FALSE),"")</f>
        <v/>
      </c>
      <c r="G1638" s="31" t="str">
        <f>IFERROR(VLOOKUP($B1638,テーブル12[],4,FALSE),"")</f>
        <v/>
      </c>
      <c r="H1638" s="25" t="str">
        <f t="shared" si="31"/>
        <v/>
      </c>
    </row>
    <row r="1639" spans="4:8">
      <c r="D1639" s="27" t="str">
        <f>IFERROR(VLOOKUP(A1639,テーブル11[],2,FALSE),"")</f>
        <v/>
      </c>
      <c r="E1639" s="25" t="str">
        <f>IFERROR(VLOOKUP($B1639,テーブル12[],2,FALSE),"")</f>
        <v/>
      </c>
      <c r="F1639" s="25" t="str">
        <f>IFERROR(VLOOKUP($B1639,テーブル12[],3,FALSE),"")</f>
        <v/>
      </c>
      <c r="G1639" s="31" t="str">
        <f>IFERROR(VLOOKUP($B1639,テーブル12[],4,FALSE),"")</f>
        <v/>
      </c>
      <c r="H1639" s="25" t="str">
        <f t="shared" si="31"/>
        <v/>
      </c>
    </row>
    <row r="1640" spans="4:8">
      <c r="D1640" s="27" t="str">
        <f>IFERROR(VLOOKUP(A1640,テーブル11[],2,FALSE),"")</f>
        <v/>
      </c>
      <c r="E1640" s="25" t="str">
        <f>IFERROR(VLOOKUP($B1640,テーブル12[],2,FALSE),"")</f>
        <v/>
      </c>
      <c r="F1640" s="25" t="str">
        <f>IFERROR(VLOOKUP($B1640,テーブル12[],3,FALSE),"")</f>
        <v/>
      </c>
      <c r="G1640" s="31" t="str">
        <f>IFERROR(VLOOKUP($B1640,テーブル12[],4,FALSE),"")</f>
        <v/>
      </c>
      <c r="H1640" s="25" t="str">
        <f t="shared" si="31"/>
        <v/>
      </c>
    </row>
    <row r="1641" spans="4:8">
      <c r="D1641" s="27" t="str">
        <f>IFERROR(VLOOKUP(A1641,テーブル11[],2,FALSE),"")</f>
        <v/>
      </c>
      <c r="E1641" s="25" t="str">
        <f>IFERROR(VLOOKUP($B1641,テーブル12[],2,FALSE),"")</f>
        <v/>
      </c>
      <c r="F1641" s="25" t="str">
        <f>IFERROR(VLOOKUP($B1641,テーブル12[],3,FALSE),"")</f>
        <v/>
      </c>
      <c r="G1641" s="31" t="str">
        <f>IFERROR(VLOOKUP($B1641,テーブル12[],4,FALSE),"")</f>
        <v/>
      </c>
      <c r="H1641" s="25" t="str">
        <f t="shared" si="31"/>
        <v/>
      </c>
    </row>
    <row r="1642" spans="4:8">
      <c r="D1642" s="27" t="str">
        <f>IFERROR(VLOOKUP(A1642,テーブル11[],2,FALSE),"")</f>
        <v/>
      </c>
      <c r="E1642" s="25" t="str">
        <f>IFERROR(VLOOKUP($B1642,テーブル12[],2,FALSE),"")</f>
        <v/>
      </c>
      <c r="F1642" s="25" t="str">
        <f>IFERROR(VLOOKUP($B1642,テーブル12[],3,FALSE),"")</f>
        <v/>
      </c>
      <c r="G1642" s="31" t="str">
        <f>IFERROR(VLOOKUP($B1642,テーブル12[],4,FALSE),"")</f>
        <v/>
      </c>
      <c r="H1642" s="25" t="str">
        <f t="shared" si="31"/>
        <v/>
      </c>
    </row>
    <row r="1643" spans="4:8">
      <c r="D1643" s="27" t="str">
        <f>IFERROR(VLOOKUP(A1643,テーブル11[],2,FALSE),"")</f>
        <v/>
      </c>
      <c r="E1643" s="25" t="str">
        <f>IFERROR(VLOOKUP($B1643,テーブル12[],2,FALSE),"")</f>
        <v/>
      </c>
      <c r="F1643" s="25" t="str">
        <f>IFERROR(VLOOKUP($B1643,テーブル12[],3,FALSE),"")</f>
        <v/>
      </c>
      <c r="G1643" s="31" t="str">
        <f>IFERROR(VLOOKUP($B1643,テーブル12[],4,FALSE),"")</f>
        <v/>
      </c>
      <c r="H1643" s="25" t="str">
        <f t="shared" si="31"/>
        <v/>
      </c>
    </row>
    <row r="1644" spans="4:8">
      <c r="D1644" s="27" t="str">
        <f>IFERROR(VLOOKUP(A1644,テーブル11[],2,FALSE),"")</f>
        <v/>
      </c>
      <c r="E1644" s="25" t="str">
        <f>IFERROR(VLOOKUP($B1644,テーブル12[],2,FALSE),"")</f>
        <v/>
      </c>
      <c r="F1644" s="25" t="str">
        <f>IFERROR(VLOOKUP($B1644,テーブル12[],3,FALSE),"")</f>
        <v/>
      </c>
      <c r="G1644" s="31" t="str">
        <f>IFERROR(VLOOKUP($B1644,テーブル12[],4,FALSE),"")</f>
        <v/>
      </c>
      <c r="H1644" s="25" t="str">
        <f t="shared" si="31"/>
        <v/>
      </c>
    </row>
    <row r="1645" spans="4:8">
      <c r="D1645" s="27" t="str">
        <f>IFERROR(VLOOKUP(A1645,テーブル11[],2,FALSE),"")</f>
        <v/>
      </c>
      <c r="E1645" s="25" t="str">
        <f>IFERROR(VLOOKUP($B1645,テーブル12[],2,FALSE),"")</f>
        <v/>
      </c>
      <c r="F1645" s="25" t="str">
        <f>IFERROR(VLOOKUP($B1645,テーブル12[],3,FALSE),"")</f>
        <v/>
      </c>
      <c r="G1645" s="31" t="str">
        <f>IFERROR(VLOOKUP($B1645,テーブル12[],4,FALSE),"")</f>
        <v/>
      </c>
      <c r="H1645" s="25" t="str">
        <f t="shared" si="31"/>
        <v/>
      </c>
    </row>
    <row r="1646" spans="4:8">
      <c r="D1646" s="27" t="str">
        <f>IFERROR(VLOOKUP(A1646,テーブル11[],2,FALSE),"")</f>
        <v/>
      </c>
      <c r="E1646" s="25" t="str">
        <f>IFERROR(VLOOKUP($B1646,テーブル12[],2,FALSE),"")</f>
        <v/>
      </c>
      <c r="F1646" s="25" t="str">
        <f>IFERROR(VLOOKUP($B1646,テーブル12[],3,FALSE),"")</f>
        <v/>
      </c>
      <c r="G1646" s="31" t="str">
        <f>IFERROR(VLOOKUP($B1646,テーブル12[],4,FALSE),"")</f>
        <v/>
      </c>
      <c r="H1646" s="25" t="str">
        <f t="shared" si="31"/>
        <v/>
      </c>
    </row>
    <row r="1647" spans="4:8">
      <c r="D1647" s="27" t="str">
        <f>IFERROR(VLOOKUP(A1647,テーブル11[],2,FALSE),"")</f>
        <v/>
      </c>
      <c r="E1647" s="25" t="str">
        <f>IFERROR(VLOOKUP($B1647,テーブル12[],2,FALSE),"")</f>
        <v/>
      </c>
      <c r="F1647" s="25" t="str">
        <f>IFERROR(VLOOKUP($B1647,テーブル12[],3,FALSE),"")</f>
        <v/>
      </c>
      <c r="G1647" s="31" t="str">
        <f>IFERROR(VLOOKUP($B1647,テーブル12[],4,FALSE),"")</f>
        <v/>
      </c>
      <c r="H1647" s="25" t="str">
        <f t="shared" si="31"/>
        <v/>
      </c>
    </row>
    <row r="1648" spans="4:8">
      <c r="D1648" s="27" t="str">
        <f>IFERROR(VLOOKUP(A1648,テーブル11[],2,FALSE),"")</f>
        <v/>
      </c>
      <c r="E1648" s="25" t="str">
        <f>IFERROR(VLOOKUP($B1648,テーブル12[],2,FALSE),"")</f>
        <v/>
      </c>
      <c r="F1648" s="25" t="str">
        <f>IFERROR(VLOOKUP($B1648,テーブル12[],3,FALSE),"")</f>
        <v/>
      </c>
      <c r="G1648" s="31" t="str">
        <f>IFERROR(VLOOKUP($B1648,テーブル12[],4,FALSE),"")</f>
        <v/>
      </c>
      <c r="H1648" s="25" t="str">
        <f t="shared" si="31"/>
        <v/>
      </c>
    </row>
    <row r="1649" spans="4:8">
      <c r="D1649" s="27" t="str">
        <f>IFERROR(VLOOKUP(A1649,テーブル11[],2,FALSE),"")</f>
        <v/>
      </c>
      <c r="E1649" s="25" t="str">
        <f>IFERROR(VLOOKUP($B1649,テーブル12[],2,FALSE),"")</f>
        <v/>
      </c>
      <c r="F1649" s="25" t="str">
        <f>IFERROR(VLOOKUP($B1649,テーブル12[],3,FALSE),"")</f>
        <v/>
      </c>
      <c r="G1649" s="31" t="str">
        <f>IFERROR(VLOOKUP($B1649,テーブル12[],4,FALSE),"")</f>
        <v/>
      </c>
      <c r="H1649" s="25" t="str">
        <f t="shared" si="31"/>
        <v/>
      </c>
    </row>
    <row r="1650" spans="4:8">
      <c r="D1650" s="27" t="str">
        <f>IFERROR(VLOOKUP(A1650,テーブル11[],2,FALSE),"")</f>
        <v/>
      </c>
      <c r="E1650" s="25" t="str">
        <f>IFERROR(VLOOKUP($B1650,テーブル12[],2,FALSE),"")</f>
        <v/>
      </c>
      <c r="F1650" s="25" t="str">
        <f>IFERROR(VLOOKUP($B1650,テーブル12[],3,FALSE),"")</f>
        <v/>
      </c>
      <c r="G1650" s="31" t="str">
        <f>IFERROR(VLOOKUP($B1650,テーブル12[],4,FALSE),"")</f>
        <v/>
      </c>
      <c r="H1650" s="25" t="str">
        <f t="shared" si="31"/>
        <v/>
      </c>
    </row>
    <row r="1651" spans="4:8">
      <c r="D1651" s="27" t="str">
        <f>IFERROR(VLOOKUP(A1651,テーブル11[],2,FALSE),"")</f>
        <v/>
      </c>
      <c r="E1651" s="25" t="str">
        <f>IFERROR(VLOOKUP($B1651,テーブル12[],2,FALSE),"")</f>
        <v/>
      </c>
      <c r="F1651" s="25" t="str">
        <f>IFERROR(VLOOKUP($B1651,テーブル12[],3,FALSE),"")</f>
        <v/>
      </c>
      <c r="G1651" s="31" t="str">
        <f>IFERROR(VLOOKUP($B1651,テーブル12[],4,FALSE),"")</f>
        <v/>
      </c>
      <c r="H1651" s="25" t="str">
        <f t="shared" si="31"/>
        <v/>
      </c>
    </row>
    <row r="1652" spans="4:8">
      <c r="D1652" s="27" t="str">
        <f>IFERROR(VLOOKUP(A1652,テーブル11[],2,FALSE),"")</f>
        <v/>
      </c>
      <c r="E1652" s="25" t="str">
        <f>IFERROR(VLOOKUP($B1652,テーブル12[],2,FALSE),"")</f>
        <v/>
      </c>
      <c r="F1652" s="25" t="str">
        <f>IFERROR(VLOOKUP($B1652,テーブル12[],3,FALSE),"")</f>
        <v/>
      </c>
      <c r="G1652" s="31" t="str">
        <f>IFERROR(VLOOKUP($B1652,テーブル12[],4,FALSE),"")</f>
        <v/>
      </c>
      <c r="H1652" s="25" t="str">
        <f t="shared" si="31"/>
        <v/>
      </c>
    </row>
    <row r="1653" spans="4:8">
      <c r="D1653" s="27" t="str">
        <f>IFERROR(VLOOKUP(A1653,テーブル11[],2,FALSE),"")</f>
        <v/>
      </c>
      <c r="E1653" s="25" t="str">
        <f>IFERROR(VLOOKUP($B1653,テーブル12[],2,FALSE),"")</f>
        <v/>
      </c>
      <c r="F1653" s="25" t="str">
        <f>IFERROR(VLOOKUP($B1653,テーブル12[],3,FALSE),"")</f>
        <v/>
      </c>
      <c r="G1653" s="31" t="str">
        <f>IFERROR(VLOOKUP($B1653,テーブル12[],4,FALSE),"")</f>
        <v/>
      </c>
      <c r="H1653" s="25" t="str">
        <f t="shared" si="31"/>
        <v/>
      </c>
    </row>
    <row r="1654" spans="4:8">
      <c r="D1654" s="27" t="str">
        <f>IFERROR(VLOOKUP(A1654,テーブル11[],2,FALSE),"")</f>
        <v/>
      </c>
      <c r="E1654" s="25" t="str">
        <f>IFERROR(VLOOKUP($B1654,テーブル12[],2,FALSE),"")</f>
        <v/>
      </c>
      <c r="F1654" s="25" t="str">
        <f>IFERROR(VLOOKUP($B1654,テーブル12[],3,FALSE),"")</f>
        <v/>
      </c>
      <c r="G1654" s="31" t="str">
        <f>IFERROR(VLOOKUP($B1654,テーブル12[],4,FALSE),"")</f>
        <v/>
      </c>
      <c r="H1654" s="25" t="str">
        <f t="shared" si="31"/>
        <v/>
      </c>
    </row>
    <row r="1655" spans="4:8">
      <c r="D1655" s="27" t="str">
        <f>IFERROR(VLOOKUP(A1655,テーブル11[],2,FALSE),"")</f>
        <v/>
      </c>
      <c r="E1655" s="25" t="str">
        <f>IFERROR(VLOOKUP($B1655,テーブル12[],2,FALSE),"")</f>
        <v/>
      </c>
      <c r="F1655" s="25" t="str">
        <f>IFERROR(VLOOKUP($B1655,テーブル12[],3,FALSE),"")</f>
        <v/>
      </c>
      <c r="G1655" s="31" t="str">
        <f>IFERROR(VLOOKUP($B1655,テーブル12[],4,FALSE),"")</f>
        <v/>
      </c>
      <c r="H1655" s="25" t="str">
        <f t="shared" si="31"/>
        <v/>
      </c>
    </row>
    <row r="1656" spans="4:8">
      <c r="D1656" s="27" t="str">
        <f>IFERROR(VLOOKUP(A1656,テーブル11[],2,FALSE),"")</f>
        <v/>
      </c>
      <c r="E1656" s="25" t="str">
        <f>IFERROR(VLOOKUP($B1656,テーブル12[],2,FALSE),"")</f>
        <v/>
      </c>
      <c r="F1656" s="25" t="str">
        <f>IFERROR(VLOOKUP($B1656,テーブル12[],3,FALSE),"")</f>
        <v/>
      </c>
      <c r="G1656" s="31" t="str">
        <f>IFERROR(VLOOKUP($B1656,テーブル12[],4,FALSE),"")</f>
        <v/>
      </c>
      <c r="H1656" s="25" t="str">
        <f t="shared" si="31"/>
        <v/>
      </c>
    </row>
    <row r="1657" spans="4:8">
      <c r="D1657" s="27" t="str">
        <f>IFERROR(VLOOKUP(A1657,テーブル11[],2,FALSE),"")</f>
        <v/>
      </c>
      <c r="E1657" s="25" t="str">
        <f>IFERROR(VLOOKUP($B1657,テーブル12[],2,FALSE),"")</f>
        <v/>
      </c>
      <c r="F1657" s="25" t="str">
        <f>IFERROR(VLOOKUP($B1657,テーブル12[],3,FALSE),"")</f>
        <v/>
      </c>
      <c r="G1657" s="31" t="str">
        <f>IFERROR(VLOOKUP($B1657,テーブル12[],4,FALSE),"")</f>
        <v/>
      </c>
      <c r="H1657" s="25" t="str">
        <f t="shared" si="31"/>
        <v/>
      </c>
    </row>
    <row r="1658" spans="4:8">
      <c r="D1658" s="27" t="str">
        <f>IFERROR(VLOOKUP(A1658,テーブル11[],2,FALSE),"")</f>
        <v/>
      </c>
      <c r="E1658" s="25" t="str">
        <f>IFERROR(VLOOKUP($B1658,テーブル12[],2,FALSE),"")</f>
        <v/>
      </c>
      <c r="F1658" s="25" t="str">
        <f>IFERROR(VLOOKUP($B1658,テーブル12[],3,FALSE),"")</f>
        <v/>
      </c>
      <c r="G1658" s="31" t="str">
        <f>IFERROR(VLOOKUP($B1658,テーブル12[],4,FALSE),"")</f>
        <v/>
      </c>
      <c r="H1658" s="25" t="str">
        <f t="shared" si="31"/>
        <v/>
      </c>
    </row>
    <row r="1659" spans="4:8">
      <c r="D1659" s="27" t="str">
        <f>IFERROR(VLOOKUP(A1659,テーブル11[],2,FALSE),"")</f>
        <v/>
      </c>
      <c r="E1659" s="25" t="str">
        <f>IFERROR(VLOOKUP($B1659,テーブル12[],2,FALSE),"")</f>
        <v/>
      </c>
      <c r="F1659" s="25" t="str">
        <f>IFERROR(VLOOKUP($B1659,テーブル12[],3,FALSE),"")</f>
        <v/>
      </c>
      <c r="G1659" s="31" t="str">
        <f>IFERROR(VLOOKUP($B1659,テーブル12[],4,FALSE),"")</f>
        <v/>
      </c>
      <c r="H1659" s="25" t="str">
        <f t="shared" si="31"/>
        <v/>
      </c>
    </row>
    <row r="1660" spans="4:8">
      <c r="D1660" s="27" t="str">
        <f>IFERROR(VLOOKUP(A1660,テーブル11[],2,FALSE),"")</f>
        <v/>
      </c>
      <c r="E1660" s="25" t="str">
        <f>IFERROR(VLOOKUP($B1660,テーブル12[],2,FALSE),"")</f>
        <v/>
      </c>
      <c r="F1660" s="25" t="str">
        <f>IFERROR(VLOOKUP($B1660,テーブル12[],3,FALSE),"")</f>
        <v/>
      </c>
      <c r="G1660" s="31" t="str">
        <f>IFERROR(VLOOKUP($B1660,テーブル12[],4,FALSE),"")</f>
        <v/>
      </c>
      <c r="H1660" s="25" t="str">
        <f t="shared" si="31"/>
        <v/>
      </c>
    </row>
    <row r="1661" spans="4:8">
      <c r="E1661" s="25" t="str">
        <f>IFERROR(VLOOKUP($B1661,テーブル12[],2,FALSE),"")</f>
        <v/>
      </c>
      <c r="F1661" s="25" t="str">
        <f>IFERROR(VLOOKUP($B1661,テーブル12[],3,FALSE),"")</f>
        <v/>
      </c>
      <c r="G1661" s="31" t="str">
        <f>IFERROR(VLOOKUP($B1661,テーブル12[],4,FALSE),"")</f>
        <v/>
      </c>
      <c r="H1661" s="25" t="str">
        <f t="shared" si="31"/>
        <v/>
      </c>
    </row>
    <row r="1662" spans="4:8">
      <c r="E1662" s="25" t="str">
        <f>IFERROR(VLOOKUP($B1662,テーブル12[],2,FALSE),"")</f>
        <v/>
      </c>
      <c r="F1662" s="25" t="str">
        <f>IFERROR(VLOOKUP($B1662,テーブル12[],3,FALSE),"")</f>
        <v/>
      </c>
      <c r="G1662" s="31" t="str">
        <f>IFERROR(VLOOKUP($B1662,テーブル12[],4,FALSE),"")</f>
        <v/>
      </c>
      <c r="H1662" s="25" t="str">
        <f t="shared" si="31"/>
        <v/>
      </c>
    </row>
    <row r="1663" spans="4:8">
      <c r="E1663" s="25" t="str">
        <f>IFERROR(VLOOKUP($B1663,テーブル12[],2,FALSE),"")</f>
        <v/>
      </c>
      <c r="F1663" s="25" t="str">
        <f>IFERROR(VLOOKUP($B1663,テーブル12[],3,FALSE),"")</f>
        <v/>
      </c>
      <c r="G1663" s="31" t="str">
        <f>IFERROR(VLOOKUP($B1663,テーブル12[],4,FALSE),"")</f>
        <v/>
      </c>
      <c r="H1663" s="25" t="str">
        <f t="shared" si="31"/>
        <v/>
      </c>
    </row>
    <row r="1664" spans="4:8">
      <c r="E1664" s="25" t="str">
        <f>IFERROR(VLOOKUP($B1664,テーブル12[],2,FALSE),"")</f>
        <v/>
      </c>
      <c r="F1664" s="25" t="str">
        <f>IFERROR(VLOOKUP($B1664,テーブル12[],3,FALSE),"")</f>
        <v/>
      </c>
      <c r="G1664" s="31" t="str">
        <f>IFERROR(VLOOKUP($B1664,テーブル12[],4,FALSE),"")</f>
        <v/>
      </c>
      <c r="H1664" s="25" t="str">
        <f t="shared" si="31"/>
        <v/>
      </c>
    </row>
    <row r="1665" spans="5:8">
      <c r="E1665" s="25" t="str">
        <f>IFERROR(VLOOKUP($B1665,テーブル12[],2,FALSE),"")</f>
        <v/>
      </c>
      <c r="F1665" s="25" t="str">
        <f>IFERROR(VLOOKUP($B1665,テーブル12[],3,FALSE),"")</f>
        <v/>
      </c>
      <c r="G1665" s="31" t="str">
        <f>IFERROR(VLOOKUP($B1665,テーブル12[],4,FALSE),"")</f>
        <v/>
      </c>
      <c r="H1665" s="25" t="str">
        <f t="shared" si="31"/>
        <v/>
      </c>
    </row>
    <row r="1666" spans="5:8">
      <c r="E1666" s="25" t="str">
        <f>IFERROR(VLOOKUP($B1666,テーブル12[],2,FALSE),"")</f>
        <v/>
      </c>
      <c r="F1666" s="25" t="str">
        <f>IFERROR(VLOOKUP($B1666,テーブル12[],3,FALSE),"")</f>
        <v/>
      </c>
      <c r="G1666" s="31" t="str">
        <f>IFERROR(VLOOKUP($B1666,テーブル12[],4,FALSE),"")</f>
        <v/>
      </c>
      <c r="H1666" s="25" t="str">
        <f t="shared" ref="H1666:H1729" si="32">IF(C1666=0,"",C1666)</f>
        <v/>
      </c>
    </row>
    <row r="1667" spans="5:8">
      <c r="E1667" s="25" t="str">
        <f>IFERROR(VLOOKUP($B1667,テーブル12[],2,FALSE),"")</f>
        <v/>
      </c>
      <c r="F1667" s="25" t="str">
        <f>IFERROR(VLOOKUP($B1667,テーブル12[],3,FALSE),"")</f>
        <v/>
      </c>
      <c r="G1667" s="31" t="str">
        <f>IFERROR(VLOOKUP($B1667,テーブル12[],4,FALSE),"")</f>
        <v/>
      </c>
      <c r="H1667" s="25" t="str">
        <f t="shared" si="32"/>
        <v/>
      </c>
    </row>
    <row r="1668" spans="5:8">
      <c r="E1668" s="25" t="str">
        <f>IFERROR(VLOOKUP($B1668,テーブル12[],2,FALSE),"")</f>
        <v/>
      </c>
      <c r="F1668" s="25" t="str">
        <f>IFERROR(VLOOKUP($B1668,テーブル12[],3,FALSE),"")</f>
        <v/>
      </c>
      <c r="G1668" s="31" t="str">
        <f>IFERROR(VLOOKUP($B1668,テーブル12[],4,FALSE),"")</f>
        <v/>
      </c>
      <c r="H1668" s="25" t="str">
        <f t="shared" si="32"/>
        <v/>
      </c>
    </row>
    <row r="1669" spans="5:8">
      <c r="E1669" s="25" t="str">
        <f>IFERROR(VLOOKUP($B1669,テーブル12[],2,FALSE),"")</f>
        <v/>
      </c>
      <c r="F1669" s="25" t="str">
        <f>IFERROR(VLOOKUP($B1669,テーブル12[],3,FALSE),"")</f>
        <v/>
      </c>
      <c r="G1669" s="31" t="str">
        <f>IFERROR(VLOOKUP($B1669,テーブル12[],4,FALSE),"")</f>
        <v/>
      </c>
      <c r="H1669" s="25" t="str">
        <f t="shared" si="32"/>
        <v/>
      </c>
    </row>
    <row r="1670" spans="5:8">
      <c r="E1670" s="25" t="str">
        <f>IFERROR(VLOOKUP($B1670,テーブル12[],2,FALSE),"")</f>
        <v/>
      </c>
      <c r="F1670" s="25" t="str">
        <f>IFERROR(VLOOKUP($B1670,テーブル12[],3,FALSE),"")</f>
        <v/>
      </c>
      <c r="G1670" s="31" t="str">
        <f>IFERROR(VLOOKUP($B1670,テーブル12[],4,FALSE),"")</f>
        <v/>
      </c>
      <c r="H1670" s="25" t="str">
        <f t="shared" si="32"/>
        <v/>
      </c>
    </row>
    <row r="1671" spans="5:8">
      <c r="E1671" s="25" t="str">
        <f>IFERROR(VLOOKUP($B1671,テーブル12[],2,FALSE),"")</f>
        <v/>
      </c>
      <c r="F1671" s="25" t="str">
        <f>IFERROR(VLOOKUP($B1671,テーブル12[],3,FALSE),"")</f>
        <v/>
      </c>
      <c r="G1671" s="31" t="str">
        <f>IFERROR(VLOOKUP($B1671,テーブル12[],4,FALSE),"")</f>
        <v/>
      </c>
      <c r="H1671" s="25" t="str">
        <f t="shared" si="32"/>
        <v/>
      </c>
    </row>
    <row r="1672" spans="5:8">
      <c r="E1672" s="25" t="str">
        <f>IFERROR(VLOOKUP($B1672,テーブル12[],2,FALSE),"")</f>
        <v/>
      </c>
      <c r="F1672" s="25" t="str">
        <f>IFERROR(VLOOKUP($B1672,テーブル12[],3,FALSE),"")</f>
        <v/>
      </c>
      <c r="G1672" s="31" t="str">
        <f>IFERROR(VLOOKUP($B1672,テーブル12[],4,FALSE),"")</f>
        <v/>
      </c>
      <c r="H1672" s="25" t="str">
        <f t="shared" si="32"/>
        <v/>
      </c>
    </row>
    <row r="1673" spans="5:8">
      <c r="E1673" s="25" t="str">
        <f>IFERROR(VLOOKUP($B1673,テーブル12[],2,FALSE),"")</f>
        <v/>
      </c>
      <c r="F1673" s="25" t="str">
        <f>IFERROR(VLOOKUP($B1673,テーブル12[],3,FALSE),"")</f>
        <v/>
      </c>
      <c r="G1673" s="31" t="str">
        <f>IFERROR(VLOOKUP($B1673,テーブル12[],4,FALSE),"")</f>
        <v/>
      </c>
      <c r="H1673" s="25" t="str">
        <f t="shared" si="32"/>
        <v/>
      </c>
    </row>
    <row r="1674" spans="5:8">
      <c r="E1674" s="25" t="str">
        <f>IFERROR(VLOOKUP($B1674,テーブル12[],2,FALSE),"")</f>
        <v/>
      </c>
      <c r="F1674" s="25" t="str">
        <f>IFERROR(VLOOKUP($B1674,テーブル12[],3,FALSE),"")</f>
        <v/>
      </c>
      <c r="G1674" s="31" t="str">
        <f>IFERROR(VLOOKUP($B1674,テーブル12[],4,FALSE),"")</f>
        <v/>
      </c>
      <c r="H1674" s="25" t="str">
        <f t="shared" si="32"/>
        <v/>
      </c>
    </row>
    <row r="1675" spans="5:8">
      <c r="E1675" s="25" t="str">
        <f>IFERROR(VLOOKUP($B1675,テーブル12[],2,FALSE),"")</f>
        <v/>
      </c>
      <c r="F1675" s="25" t="str">
        <f>IFERROR(VLOOKUP($B1675,テーブル12[],3,FALSE),"")</f>
        <v/>
      </c>
      <c r="G1675" s="31" t="str">
        <f>IFERROR(VLOOKUP($B1675,テーブル12[],4,FALSE),"")</f>
        <v/>
      </c>
      <c r="H1675" s="25" t="str">
        <f t="shared" si="32"/>
        <v/>
      </c>
    </row>
    <row r="1676" spans="5:8">
      <c r="E1676" s="25" t="str">
        <f>IFERROR(VLOOKUP($B1676,テーブル12[],2,FALSE),"")</f>
        <v/>
      </c>
      <c r="F1676" s="25" t="str">
        <f>IFERROR(VLOOKUP($B1676,テーブル12[],3,FALSE),"")</f>
        <v/>
      </c>
      <c r="G1676" s="31" t="str">
        <f>IFERROR(VLOOKUP($B1676,テーブル12[],4,FALSE),"")</f>
        <v/>
      </c>
      <c r="H1676" s="25" t="str">
        <f t="shared" si="32"/>
        <v/>
      </c>
    </row>
    <row r="1677" spans="5:8">
      <c r="E1677" s="25" t="str">
        <f>IFERROR(VLOOKUP($B1677,テーブル12[],2,FALSE),"")</f>
        <v/>
      </c>
      <c r="F1677" s="25" t="str">
        <f>IFERROR(VLOOKUP($B1677,テーブル12[],3,FALSE),"")</f>
        <v/>
      </c>
      <c r="G1677" s="31" t="str">
        <f>IFERROR(VLOOKUP($B1677,テーブル12[],4,FALSE),"")</f>
        <v/>
      </c>
      <c r="H1677" s="25" t="str">
        <f t="shared" si="32"/>
        <v/>
      </c>
    </row>
    <row r="1678" spans="5:8">
      <c r="E1678" s="25" t="str">
        <f>IFERROR(VLOOKUP($B1678,テーブル12[],2,FALSE),"")</f>
        <v/>
      </c>
      <c r="F1678" s="25" t="str">
        <f>IFERROR(VLOOKUP($B1678,テーブル12[],3,FALSE),"")</f>
        <v/>
      </c>
      <c r="G1678" s="31" t="str">
        <f>IFERROR(VLOOKUP($B1678,テーブル12[],4,FALSE),"")</f>
        <v/>
      </c>
      <c r="H1678" s="25" t="str">
        <f t="shared" si="32"/>
        <v/>
      </c>
    </row>
    <row r="1679" spans="5:8">
      <c r="E1679" s="25" t="str">
        <f>IFERROR(VLOOKUP($B1679,テーブル12[],2,FALSE),"")</f>
        <v/>
      </c>
      <c r="F1679" s="25" t="str">
        <f>IFERROR(VLOOKUP($B1679,テーブル12[],3,FALSE),"")</f>
        <v/>
      </c>
      <c r="G1679" s="31" t="str">
        <f>IFERROR(VLOOKUP($B1679,テーブル12[],4,FALSE),"")</f>
        <v/>
      </c>
      <c r="H1679" s="25" t="str">
        <f t="shared" si="32"/>
        <v/>
      </c>
    </row>
    <row r="1680" spans="5:8">
      <c r="E1680" s="25" t="str">
        <f>IFERROR(VLOOKUP($B1680,テーブル12[],2,FALSE),"")</f>
        <v/>
      </c>
      <c r="F1680" s="25" t="str">
        <f>IFERROR(VLOOKUP($B1680,テーブル12[],3,FALSE),"")</f>
        <v/>
      </c>
      <c r="G1680" s="31" t="str">
        <f>IFERROR(VLOOKUP($B1680,テーブル12[],4,FALSE),"")</f>
        <v/>
      </c>
      <c r="H1680" s="25" t="str">
        <f t="shared" si="32"/>
        <v/>
      </c>
    </row>
    <row r="1681" spans="5:8">
      <c r="E1681" s="25" t="str">
        <f>IFERROR(VLOOKUP($B1681,テーブル12[],2,FALSE),"")</f>
        <v/>
      </c>
      <c r="F1681" s="25" t="str">
        <f>IFERROR(VLOOKUP($B1681,テーブル12[],3,FALSE),"")</f>
        <v/>
      </c>
      <c r="G1681" s="31" t="str">
        <f>IFERROR(VLOOKUP($B1681,テーブル12[],4,FALSE),"")</f>
        <v/>
      </c>
      <c r="H1681" s="25" t="str">
        <f t="shared" si="32"/>
        <v/>
      </c>
    </row>
    <row r="1682" spans="5:8">
      <c r="E1682" s="25" t="str">
        <f>IFERROR(VLOOKUP($B1682,テーブル12[],2,FALSE),"")</f>
        <v/>
      </c>
      <c r="F1682" s="25" t="str">
        <f>IFERROR(VLOOKUP($B1682,テーブル12[],3,FALSE),"")</f>
        <v/>
      </c>
      <c r="G1682" s="31" t="str">
        <f>IFERROR(VLOOKUP($B1682,テーブル12[],4,FALSE),"")</f>
        <v/>
      </c>
      <c r="H1682" s="25" t="str">
        <f t="shared" si="32"/>
        <v/>
      </c>
    </row>
    <row r="1683" spans="5:8">
      <c r="E1683" s="25" t="str">
        <f>IFERROR(VLOOKUP($B1683,テーブル12[],2,FALSE),"")</f>
        <v/>
      </c>
      <c r="F1683" s="25" t="str">
        <f>IFERROR(VLOOKUP($B1683,テーブル12[],3,FALSE),"")</f>
        <v/>
      </c>
      <c r="G1683" s="31" t="str">
        <f>IFERROR(VLOOKUP($B1683,テーブル12[],4,FALSE),"")</f>
        <v/>
      </c>
      <c r="H1683" s="25" t="str">
        <f t="shared" si="32"/>
        <v/>
      </c>
    </row>
    <row r="1684" spans="5:8">
      <c r="E1684" s="25" t="str">
        <f>IFERROR(VLOOKUP($B1684,テーブル12[],2,FALSE),"")</f>
        <v/>
      </c>
      <c r="F1684" s="25" t="str">
        <f>IFERROR(VLOOKUP($B1684,テーブル12[],3,FALSE),"")</f>
        <v/>
      </c>
      <c r="G1684" s="31" t="str">
        <f>IFERROR(VLOOKUP($B1684,テーブル12[],4,FALSE),"")</f>
        <v/>
      </c>
      <c r="H1684" s="25" t="str">
        <f t="shared" si="32"/>
        <v/>
      </c>
    </row>
    <row r="1685" spans="5:8">
      <c r="E1685" s="25" t="str">
        <f>IFERROR(VLOOKUP($B1685,テーブル12[],2,FALSE),"")</f>
        <v/>
      </c>
      <c r="F1685" s="25" t="str">
        <f>IFERROR(VLOOKUP($B1685,テーブル12[],3,FALSE),"")</f>
        <v/>
      </c>
      <c r="G1685" s="31" t="str">
        <f>IFERROR(VLOOKUP($B1685,テーブル12[],4,FALSE),"")</f>
        <v/>
      </c>
      <c r="H1685" s="25" t="str">
        <f t="shared" si="32"/>
        <v/>
      </c>
    </row>
    <row r="1686" spans="5:8">
      <c r="E1686" s="25" t="str">
        <f>IFERROR(VLOOKUP($B1686,テーブル12[],2,FALSE),"")</f>
        <v/>
      </c>
      <c r="F1686" s="25" t="str">
        <f>IFERROR(VLOOKUP($B1686,テーブル12[],3,FALSE),"")</f>
        <v/>
      </c>
      <c r="G1686" s="31" t="str">
        <f>IFERROR(VLOOKUP($B1686,テーブル12[],4,FALSE),"")</f>
        <v/>
      </c>
      <c r="H1686" s="25" t="str">
        <f t="shared" si="32"/>
        <v/>
      </c>
    </row>
    <row r="1687" spans="5:8">
      <c r="E1687" s="25" t="str">
        <f>IFERROR(VLOOKUP($B1687,テーブル12[],2,FALSE),"")</f>
        <v/>
      </c>
      <c r="F1687" s="25" t="str">
        <f>IFERROR(VLOOKUP($B1687,テーブル12[],3,FALSE),"")</f>
        <v/>
      </c>
      <c r="G1687" s="31" t="str">
        <f>IFERROR(VLOOKUP($B1687,テーブル12[],4,FALSE),"")</f>
        <v/>
      </c>
      <c r="H1687" s="25" t="str">
        <f t="shared" si="32"/>
        <v/>
      </c>
    </row>
    <row r="1688" spans="5:8">
      <c r="E1688" s="25" t="str">
        <f>IFERROR(VLOOKUP($B1688,テーブル12[],2,FALSE),"")</f>
        <v/>
      </c>
      <c r="F1688" s="25" t="str">
        <f>IFERROR(VLOOKUP($B1688,テーブル12[],3,FALSE),"")</f>
        <v/>
      </c>
      <c r="G1688" s="31" t="str">
        <f>IFERROR(VLOOKUP($B1688,テーブル12[],4,FALSE),"")</f>
        <v/>
      </c>
      <c r="H1688" s="25" t="str">
        <f t="shared" si="32"/>
        <v/>
      </c>
    </row>
    <row r="1689" spans="5:8">
      <c r="E1689" s="25" t="str">
        <f>IFERROR(VLOOKUP($B1689,テーブル12[],2,FALSE),"")</f>
        <v/>
      </c>
      <c r="F1689" s="25" t="str">
        <f>IFERROR(VLOOKUP($B1689,テーブル12[],3,FALSE),"")</f>
        <v/>
      </c>
      <c r="G1689" s="31" t="str">
        <f>IFERROR(VLOOKUP($B1689,テーブル12[],4,FALSE),"")</f>
        <v/>
      </c>
      <c r="H1689" s="25" t="str">
        <f t="shared" si="32"/>
        <v/>
      </c>
    </row>
    <row r="1690" spans="5:8">
      <c r="E1690" s="25" t="str">
        <f>IFERROR(VLOOKUP($B1690,テーブル12[],2,FALSE),"")</f>
        <v/>
      </c>
      <c r="F1690" s="25" t="str">
        <f>IFERROR(VLOOKUP($B1690,テーブル12[],3,FALSE),"")</f>
        <v/>
      </c>
      <c r="G1690" s="31" t="str">
        <f>IFERROR(VLOOKUP($B1690,テーブル12[],4,FALSE),"")</f>
        <v/>
      </c>
      <c r="H1690" s="25" t="str">
        <f t="shared" si="32"/>
        <v/>
      </c>
    </row>
    <row r="1691" spans="5:8">
      <c r="E1691" s="25" t="str">
        <f>IFERROR(VLOOKUP($B1691,テーブル12[],2,FALSE),"")</f>
        <v/>
      </c>
      <c r="F1691" s="25" t="str">
        <f>IFERROR(VLOOKUP($B1691,テーブル12[],3,FALSE),"")</f>
        <v/>
      </c>
      <c r="G1691" s="31" t="str">
        <f>IFERROR(VLOOKUP($B1691,テーブル12[],4,FALSE),"")</f>
        <v/>
      </c>
      <c r="H1691" s="25" t="str">
        <f t="shared" si="32"/>
        <v/>
      </c>
    </row>
    <row r="1692" spans="5:8">
      <c r="E1692" s="25" t="str">
        <f>IFERROR(VLOOKUP($B1692,テーブル12[],2,FALSE),"")</f>
        <v/>
      </c>
      <c r="F1692" s="25" t="str">
        <f>IFERROR(VLOOKUP($B1692,テーブル12[],3,FALSE),"")</f>
        <v/>
      </c>
      <c r="G1692" s="31" t="str">
        <f>IFERROR(VLOOKUP($B1692,テーブル12[],4,FALSE),"")</f>
        <v/>
      </c>
      <c r="H1692" s="25" t="str">
        <f t="shared" si="32"/>
        <v/>
      </c>
    </row>
    <row r="1693" spans="5:8">
      <c r="E1693" s="25" t="str">
        <f>IFERROR(VLOOKUP($B1693,テーブル12[],2,FALSE),"")</f>
        <v/>
      </c>
      <c r="F1693" s="25" t="str">
        <f>IFERROR(VLOOKUP($B1693,テーブル12[],3,FALSE),"")</f>
        <v/>
      </c>
      <c r="G1693" s="31" t="str">
        <f>IFERROR(VLOOKUP($B1693,テーブル12[],4,FALSE),"")</f>
        <v/>
      </c>
      <c r="H1693" s="25" t="str">
        <f t="shared" si="32"/>
        <v/>
      </c>
    </row>
    <row r="1694" spans="5:8">
      <c r="E1694" s="25" t="str">
        <f>IFERROR(VLOOKUP($B1694,テーブル12[],2,FALSE),"")</f>
        <v/>
      </c>
      <c r="F1694" s="25" t="str">
        <f>IFERROR(VLOOKUP($B1694,テーブル12[],3,FALSE),"")</f>
        <v/>
      </c>
      <c r="G1694" s="31" t="str">
        <f>IFERROR(VLOOKUP($B1694,テーブル12[],4,FALSE),"")</f>
        <v/>
      </c>
      <c r="H1694" s="25" t="str">
        <f t="shared" si="32"/>
        <v/>
      </c>
    </row>
    <row r="1695" spans="5:8">
      <c r="E1695" s="25" t="str">
        <f>IFERROR(VLOOKUP($B1695,テーブル12[],2,FALSE),"")</f>
        <v/>
      </c>
      <c r="F1695" s="25" t="str">
        <f>IFERROR(VLOOKUP($B1695,テーブル12[],3,FALSE),"")</f>
        <v/>
      </c>
      <c r="G1695" s="31" t="str">
        <f>IFERROR(VLOOKUP($B1695,テーブル12[],4,FALSE),"")</f>
        <v/>
      </c>
      <c r="H1695" s="25" t="str">
        <f t="shared" si="32"/>
        <v/>
      </c>
    </row>
    <row r="1696" spans="5:8">
      <c r="E1696" s="25" t="str">
        <f>IFERROR(VLOOKUP($B1696,テーブル12[],2,FALSE),"")</f>
        <v/>
      </c>
      <c r="F1696" s="25" t="str">
        <f>IFERROR(VLOOKUP($B1696,テーブル12[],3,FALSE),"")</f>
        <v/>
      </c>
      <c r="G1696" s="31" t="str">
        <f>IFERROR(VLOOKUP($B1696,テーブル12[],4,FALSE),"")</f>
        <v/>
      </c>
      <c r="H1696" s="25" t="str">
        <f t="shared" si="32"/>
        <v/>
      </c>
    </row>
    <row r="1697" spans="5:8">
      <c r="E1697" s="25" t="str">
        <f>IFERROR(VLOOKUP($B1697,テーブル12[],2,FALSE),"")</f>
        <v/>
      </c>
      <c r="F1697" s="25" t="str">
        <f>IFERROR(VLOOKUP($B1697,テーブル12[],3,FALSE),"")</f>
        <v/>
      </c>
      <c r="G1697" s="31" t="str">
        <f>IFERROR(VLOOKUP($B1697,テーブル12[],4,FALSE),"")</f>
        <v/>
      </c>
      <c r="H1697" s="25" t="str">
        <f t="shared" si="32"/>
        <v/>
      </c>
    </row>
    <row r="1698" spans="5:8">
      <c r="E1698" s="25" t="str">
        <f>IFERROR(VLOOKUP($B1698,テーブル12[],2,FALSE),"")</f>
        <v/>
      </c>
      <c r="F1698" s="25" t="str">
        <f>IFERROR(VLOOKUP($B1698,テーブル12[],3,FALSE),"")</f>
        <v/>
      </c>
      <c r="G1698" s="31" t="str">
        <f>IFERROR(VLOOKUP($B1698,テーブル12[],4,FALSE),"")</f>
        <v/>
      </c>
      <c r="H1698" s="25" t="str">
        <f t="shared" si="32"/>
        <v/>
      </c>
    </row>
    <row r="1699" spans="5:8">
      <c r="E1699" s="25" t="str">
        <f>IFERROR(VLOOKUP($B1699,テーブル12[],2,FALSE),"")</f>
        <v/>
      </c>
      <c r="F1699" s="25" t="str">
        <f>IFERROR(VLOOKUP($B1699,テーブル12[],3,FALSE),"")</f>
        <v/>
      </c>
      <c r="G1699" s="31" t="str">
        <f>IFERROR(VLOOKUP($B1699,テーブル12[],4,FALSE),"")</f>
        <v/>
      </c>
      <c r="H1699" s="25" t="str">
        <f t="shared" si="32"/>
        <v/>
      </c>
    </row>
    <row r="1700" spans="5:8">
      <c r="E1700" s="25" t="str">
        <f>IFERROR(VLOOKUP($B1700,テーブル12[],2,FALSE),"")</f>
        <v/>
      </c>
      <c r="F1700" s="25" t="str">
        <f>IFERROR(VLOOKUP($B1700,テーブル12[],3,FALSE),"")</f>
        <v/>
      </c>
      <c r="G1700" s="31" t="str">
        <f>IFERROR(VLOOKUP($B1700,テーブル12[],4,FALSE),"")</f>
        <v/>
      </c>
      <c r="H1700" s="25" t="str">
        <f t="shared" si="32"/>
        <v/>
      </c>
    </row>
    <row r="1701" spans="5:8">
      <c r="E1701" s="25" t="str">
        <f>IFERROR(VLOOKUP($B1701,テーブル12[],2,FALSE),"")</f>
        <v/>
      </c>
      <c r="F1701" s="25" t="str">
        <f>IFERROR(VLOOKUP($B1701,テーブル12[],3,FALSE),"")</f>
        <v/>
      </c>
      <c r="G1701" s="31" t="str">
        <f>IFERROR(VLOOKUP($B1701,テーブル12[],4,FALSE),"")</f>
        <v/>
      </c>
      <c r="H1701" s="25" t="str">
        <f t="shared" si="32"/>
        <v/>
      </c>
    </row>
    <row r="1702" spans="5:8">
      <c r="E1702" s="25" t="str">
        <f>IFERROR(VLOOKUP($B1702,テーブル12[],2,FALSE),"")</f>
        <v/>
      </c>
      <c r="F1702" s="25" t="str">
        <f>IFERROR(VLOOKUP($B1702,テーブル12[],3,FALSE),"")</f>
        <v/>
      </c>
      <c r="G1702" s="31" t="str">
        <f>IFERROR(VLOOKUP($B1702,テーブル12[],4,FALSE),"")</f>
        <v/>
      </c>
      <c r="H1702" s="25" t="str">
        <f t="shared" si="32"/>
        <v/>
      </c>
    </row>
    <row r="1703" spans="5:8">
      <c r="E1703" s="25" t="str">
        <f>IFERROR(VLOOKUP($B1703,テーブル12[],2,FALSE),"")</f>
        <v/>
      </c>
      <c r="F1703" s="25" t="str">
        <f>IFERROR(VLOOKUP($B1703,テーブル12[],3,FALSE),"")</f>
        <v/>
      </c>
      <c r="G1703" s="31" t="str">
        <f>IFERROR(VLOOKUP($B1703,テーブル12[],4,FALSE),"")</f>
        <v/>
      </c>
      <c r="H1703" s="25" t="str">
        <f t="shared" si="32"/>
        <v/>
      </c>
    </row>
    <row r="1704" spans="5:8">
      <c r="E1704" s="25" t="str">
        <f>IFERROR(VLOOKUP($B1704,テーブル12[],2,FALSE),"")</f>
        <v/>
      </c>
      <c r="F1704" s="25" t="str">
        <f>IFERROR(VLOOKUP($B1704,テーブル12[],3,FALSE),"")</f>
        <v/>
      </c>
      <c r="G1704" s="31" t="str">
        <f>IFERROR(VLOOKUP($B1704,テーブル12[],4,FALSE),"")</f>
        <v/>
      </c>
      <c r="H1704" s="25" t="str">
        <f t="shared" si="32"/>
        <v/>
      </c>
    </row>
    <row r="1705" spans="5:8">
      <c r="E1705" s="25" t="str">
        <f>IFERROR(VLOOKUP($B1705,テーブル12[],2,FALSE),"")</f>
        <v/>
      </c>
      <c r="F1705" s="25" t="str">
        <f>IFERROR(VLOOKUP($B1705,テーブル12[],3,FALSE),"")</f>
        <v/>
      </c>
      <c r="G1705" s="31" t="str">
        <f>IFERROR(VLOOKUP($B1705,テーブル12[],4,FALSE),"")</f>
        <v/>
      </c>
      <c r="H1705" s="25" t="str">
        <f t="shared" si="32"/>
        <v/>
      </c>
    </row>
    <row r="1706" spans="5:8">
      <c r="E1706" s="25" t="str">
        <f>IFERROR(VLOOKUP($B1706,テーブル12[],2,FALSE),"")</f>
        <v/>
      </c>
      <c r="F1706" s="25" t="str">
        <f>IFERROR(VLOOKUP($B1706,テーブル12[],3,FALSE),"")</f>
        <v/>
      </c>
      <c r="G1706" s="31" t="str">
        <f>IFERROR(VLOOKUP($B1706,テーブル12[],4,FALSE),"")</f>
        <v/>
      </c>
      <c r="H1706" s="25" t="str">
        <f t="shared" si="32"/>
        <v/>
      </c>
    </row>
    <row r="1707" spans="5:8">
      <c r="E1707" s="25" t="str">
        <f>IFERROR(VLOOKUP($B1707,テーブル12[],2,FALSE),"")</f>
        <v/>
      </c>
      <c r="F1707" s="25" t="str">
        <f>IFERROR(VLOOKUP($B1707,テーブル12[],3,FALSE),"")</f>
        <v/>
      </c>
      <c r="G1707" s="31" t="str">
        <f>IFERROR(VLOOKUP($B1707,テーブル12[],4,FALSE),"")</f>
        <v/>
      </c>
      <c r="H1707" s="25" t="str">
        <f t="shared" si="32"/>
        <v/>
      </c>
    </row>
    <row r="1708" spans="5:8">
      <c r="E1708" s="25" t="str">
        <f>IFERROR(VLOOKUP($B1708,テーブル12[],2,FALSE),"")</f>
        <v/>
      </c>
      <c r="F1708" s="25" t="str">
        <f>IFERROR(VLOOKUP($B1708,テーブル12[],3,FALSE),"")</f>
        <v/>
      </c>
      <c r="G1708" s="31" t="str">
        <f>IFERROR(VLOOKUP($B1708,テーブル12[],4,FALSE),"")</f>
        <v/>
      </c>
      <c r="H1708" s="25" t="str">
        <f t="shared" si="32"/>
        <v/>
      </c>
    </row>
    <row r="1709" spans="5:8">
      <c r="E1709" s="25" t="str">
        <f>IFERROR(VLOOKUP($B1709,テーブル12[],2,FALSE),"")</f>
        <v/>
      </c>
      <c r="F1709" s="25" t="str">
        <f>IFERROR(VLOOKUP($B1709,テーブル12[],3,FALSE),"")</f>
        <v/>
      </c>
      <c r="G1709" s="31" t="str">
        <f>IFERROR(VLOOKUP($B1709,テーブル12[],4,FALSE),"")</f>
        <v/>
      </c>
      <c r="H1709" s="25" t="str">
        <f t="shared" si="32"/>
        <v/>
      </c>
    </row>
    <row r="1710" spans="5:8">
      <c r="E1710" s="25" t="str">
        <f>IFERROR(VLOOKUP($B1710,テーブル12[],2,FALSE),"")</f>
        <v/>
      </c>
      <c r="F1710" s="25" t="str">
        <f>IFERROR(VLOOKUP($B1710,テーブル12[],3,FALSE),"")</f>
        <v/>
      </c>
      <c r="G1710" s="31" t="str">
        <f>IFERROR(VLOOKUP($B1710,テーブル12[],4,FALSE),"")</f>
        <v/>
      </c>
      <c r="H1710" s="25" t="str">
        <f t="shared" si="32"/>
        <v/>
      </c>
    </row>
    <row r="1711" spans="5:8">
      <c r="E1711" s="25" t="str">
        <f>IFERROR(VLOOKUP($B1711,テーブル12[],2,FALSE),"")</f>
        <v/>
      </c>
      <c r="F1711" s="25" t="str">
        <f>IFERROR(VLOOKUP($B1711,テーブル12[],3,FALSE),"")</f>
        <v/>
      </c>
      <c r="G1711" s="31" t="str">
        <f>IFERROR(VLOOKUP($B1711,テーブル12[],4,FALSE),"")</f>
        <v/>
      </c>
      <c r="H1711" s="25" t="str">
        <f t="shared" si="32"/>
        <v/>
      </c>
    </row>
    <row r="1712" spans="5:8">
      <c r="E1712" s="25" t="str">
        <f>IFERROR(VLOOKUP($B1712,テーブル12[],2,FALSE),"")</f>
        <v/>
      </c>
      <c r="F1712" s="25" t="str">
        <f>IFERROR(VLOOKUP($B1712,テーブル12[],3,FALSE),"")</f>
        <v/>
      </c>
      <c r="G1712" s="31" t="str">
        <f>IFERROR(VLOOKUP($B1712,テーブル12[],4,FALSE),"")</f>
        <v/>
      </c>
      <c r="H1712" s="25" t="str">
        <f t="shared" si="32"/>
        <v/>
      </c>
    </row>
    <row r="1713" spans="5:8">
      <c r="E1713" s="25" t="str">
        <f>IFERROR(VLOOKUP($B1713,テーブル12[],2,FALSE),"")</f>
        <v/>
      </c>
      <c r="F1713" s="25" t="str">
        <f>IFERROR(VLOOKUP($B1713,テーブル12[],3,FALSE),"")</f>
        <v/>
      </c>
      <c r="G1713" s="31" t="str">
        <f>IFERROR(VLOOKUP($B1713,テーブル12[],4,FALSE),"")</f>
        <v/>
      </c>
      <c r="H1713" s="25" t="str">
        <f t="shared" si="32"/>
        <v/>
      </c>
    </row>
    <row r="1714" spans="5:8">
      <c r="E1714" s="25" t="str">
        <f>IFERROR(VLOOKUP($B1714,テーブル12[],2,FALSE),"")</f>
        <v/>
      </c>
      <c r="F1714" s="25" t="str">
        <f>IFERROR(VLOOKUP($B1714,テーブル12[],3,FALSE),"")</f>
        <v/>
      </c>
      <c r="G1714" s="31" t="str">
        <f>IFERROR(VLOOKUP($B1714,テーブル12[],4,FALSE),"")</f>
        <v/>
      </c>
      <c r="H1714" s="25" t="str">
        <f t="shared" si="32"/>
        <v/>
      </c>
    </row>
    <row r="1715" spans="5:8">
      <c r="E1715" s="25" t="str">
        <f>IFERROR(VLOOKUP($B1715,テーブル12[],2,FALSE),"")</f>
        <v/>
      </c>
      <c r="F1715" s="25" t="str">
        <f>IFERROR(VLOOKUP($B1715,テーブル12[],3,FALSE),"")</f>
        <v/>
      </c>
      <c r="G1715" s="31" t="str">
        <f>IFERROR(VLOOKUP($B1715,テーブル12[],4,FALSE),"")</f>
        <v/>
      </c>
      <c r="H1715" s="25" t="str">
        <f t="shared" si="32"/>
        <v/>
      </c>
    </row>
    <row r="1716" spans="5:8">
      <c r="E1716" s="25" t="str">
        <f>IFERROR(VLOOKUP($B1716,テーブル12[],2,FALSE),"")</f>
        <v/>
      </c>
      <c r="F1716" s="25" t="str">
        <f>IFERROR(VLOOKUP($B1716,テーブル12[],3,FALSE),"")</f>
        <v/>
      </c>
      <c r="G1716" s="31" t="str">
        <f>IFERROR(VLOOKUP($B1716,テーブル12[],4,FALSE),"")</f>
        <v/>
      </c>
      <c r="H1716" s="25" t="str">
        <f t="shared" si="32"/>
        <v/>
      </c>
    </row>
    <row r="1717" spans="5:8">
      <c r="E1717" s="25" t="str">
        <f>IFERROR(VLOOKUP($B1717,テーブル12[],2,FALSE),"")</f>
        <v/>
      </c>
      <c r="F1717" s="25" t="str">
        <f>IFERROR(VLOOKUP($B1717,テーブル12[],3,FALSE),"")</f>
        <v/>
      </c>
      <c r="G1717" s="31" t="str">
        <f>IFERROR(VLOOKUP($B1717,テーブル12[],4,FALSE),"")</f>
        <v/>
      </c>
      <c r="H1717" s="25" t="str">
        <f t="shared" si="32"/>
        <v/>
      </c>
    </row>
    <row r="1718" spans="5:8">
      <c r="E1718" s="25" t="str">
        <f>IFERROR(VLOOKUP($B1718,テーブル12[],2,FALSE),"")</f>
        <v/>
      </c>
      <c r="F1718" s="25" t="str">
        <f>IFERROR(VLOOKUP($B1718,テーブル12[],3,FALSE),"")</f>
        <v/>
      </c>
      <c r="G1718" s="31" t="str">
        <f>IFERROR(VLOOKUP($B1718,テーブル12[],4,FALSE),"")</f>
        <v/>
      </c>
      <c r="H1718" s="25" t="str">
        <f t="shared" si="32"/>
        <v/>
      </c>
    </row>
    <row r="1719" spans="5:8">
      <c r="E1719" s="25" t="str">
        <f>IFERROR(VLOOKUP($B1719,テーブル12[],2,FALSE),"")</f>
        <v/>
      </c>
      <c r="F1719" s="25" t="str">
        <f>IFERROR(VLOOKUP($B1719,テーブル12[],3,FALSE),"")</f>
        <v/>
      </c>
      <c r="G1719" s="31" t="str">
        <f>IFERROR(VLOOKUP($B1719,テーブル12[],4,FALSE),"")</f>
        <v/>
      </c>
      <c r="H1719" s="25" t="str">
        <f t="shared" si="32"/>
        <v/>
      </c>
    </row>
    <row r="1720" spans="5:8">
      <c r="E1720" s="25" t="str">
        <f>IFERROR(VLOOKUP($B1720,テーブル12[],2,FALSE),"")</f>
        <v/>
      </c>
      <c r="F1720" s="25" t="str">
        <f>IFERROR(VLOOKUP($B1720,テーブル12[],3,FALSE),"")</f>
        <v/>
      </c>
      <c r="G1720" s="31" t="str">
        <f>IFERROR(VLOOKUP($B1720,テーブル12[],4,FALSE),"")</f>
        <v/>
      </c>
      <c r="H1720" s="25" t="str">
        <f t="shared" si="32"/>
        <v/>
      </c>
    </row>
    <row r="1721" spans="5:8">
      <c r="E1721" s="25" t="str">
        <f>IFERROR(VLOOKUP($B1721,テーブル12[],2,FALSE),"")</f>
        <v/>
      </c>
      <c r="F1721" s="25" t="str">
        <f>IFERROR(VLOOKUP($B1721,テーブル12[],3,FALSE),"")</f>
        <v/>
      </c>
      <c r="G1721" s="31" t="str">
        <f>IFERROR(VLOOKUP($B1721,テーブル12[],4,FALSE),"")</f>
        <v/>
      </c>
      <c r="H1721" s="25" t="str">
        <f t="shared" si="32"/>
        <v/>
      </c>
    </row>
    <row r="1722" spans="5:8">
      <c r="E1722" s="25" t="str">
        <f>IFERROR(VLOOKUP($B1722,テーブル12[],2,FALSE),"")</f>
        <v/>
      </c>
      <c r="F1722" s="25" t="str">
        <f>IFERROR(VLOOKUP($B1722,テーブル12[],3,FALSE),"")</f>
        <v/>
      </c>
      <c r="G1722" s="31" t="str">
        <f>IFERROR(VLOOKUP($B1722,テーブル12[],4,FALSE),"")</f>
        <v/>
      </c>
      <c r="H1722" s="25" t="str">
        <f t="shared" si="32"/>
        <v/>
      </c>
    </row>
    <row r="1723" spans="5:8">
      <c r="E1723" s="25" t="str">
        <f>IFERROR(VLOOKUP($B1723,テーブル12[],2,FALSE),"")</f>
        <v/>
      </c>
      <c r="F1723" s="25" t="str">
        <f>IFERROR(VLOOKUP($B1723,テーブル12[],3,FALSE),"")</f>
        <v/>
      </c>
      <c r="G1723" s="31" t="str">
        <f>IFERROR(VLOOKUP($B1723,テーブル12[],4,FALSE),"")</f>
        <v/>
      </c>
      <c r="H1723" s="25" t="str">
        <f t="shared" si="32"/>
        <v/>
      </c>
    </row>
    <row r="1724" spans="5:8">
      <c r="E1724" s="25" t="str">
        <f>IFERROR(VLOOKUP($B1724,テーブル12[],2,FALSE),"")</f>
        <v/>
      </c>
      <c r="F1724" s="25" t="str">
        <f>IFERROR(VLOOKUP($B1724,テーブル12[],3,FALSE),"")</f>
        <v/>
      </c>
      <c r="G1724" s="31" t="str">
        <f>IFERROR(VLOOKUP($B1724,テーブル12[],4,FALSE),"")</f>
        <v/>
      </c>
      <c r="H1724" s="25" t="str">
        <f t="shared" si="32"/>
        <v/>
      </c>
    </row>
    <row r="1725" spans="5:8">
      <c r="E1725" s="25" t="str">
        <f>IFERROR(VLOOKUP($B1725,テーブル12[],2,FALSE),"")</f>
        <v/>
      </c>
      <c r="F1725" s="25" t="str">
        <f>IFERROR(VLOOKUP($B1725,テーブル12[],3,FALSE),"")</f>
        <v/>
      </c>
      <c r="G1725" s="31" t="str">
        <f>IFERROR(VLOOKUP($B1725,テーブル12[],4,FALSE),"")</f>
        <v/>
      </c>
      <c r="H1725" s="25" t="str">
        <f t="shared" si="32"/>
        <v/>
      </c>
    </row>
    <row r="1726" spans="5:8">
      <c r="E1726" s="25" t="str">
        <f>IFERROR(VLOOKUP($B1726,テーブル12[],2,FALSE),"")</f>
        <v/>
      </c>
      <c r="F1726" s="25" t="str">
        <f>IFERROR(VLOOKUP($B1726,テーブル12[],3,FALSE),"")</f>
        <v/>
      </c>
      <c r="G1726" s="31" t="str">
        <f>IFERROR(VLOOKUP($B1726,テーブル12[],4,FALSE),"")</f>
        <v/>
      </c>
      <c r="H1726" s="25" t="str">
        <f t="shared" si="32"/>
        <v/>
      </c>
    </row>
    <row r="1727" spans="5:8">
      <c r="E1727" s="25" t="str">
        <f>IFERROR(VLOOKUP($B1727,テーブル12[],2,FALSE),"")</f>
        <v/>
      </c>
      <c r="F1727" s="25" t="str">
        <f>IFERROR(VLOOKUP($B1727,テーブル12[],3,FALSE),"")</f>
        <v/>
      </c>
      <c r="G1727" s="31" t="str">
        <f>IFERROR(VLOOKUP($B1727,テーブル12[],4,FALSE),"")</f>
        <v/>
      </c>
      <c r="H1727" s="25" t="str">
        <f t="shared" si="32"/>
        <v/>
      </c>
    </row>
    <row r="1728" spans="5:8">
      <c r="E1728" s="25" t="str">
        <f>IFERROR(VLOOKUP($B1728,テーブル12[],2,FALSE),"")</f>
        <v/>
      </c>
      <c r="F1728" s="25" t="str">
        <f>IFERROR(VLOOKUP($B1728,テーブル12[],3,FALSE),"")</f>
        <v/>
      </c>
      <c r="G1728" s="31" t="str">
        <f>IFERROR(VLOOKUP($B1728,テーブル12[],4,FALSE),"")</f>
        <v/>
      </c>
      <c r="H1728" s="25" t="str">
        <f t="shared" si="32"/>
        <v/>
      </c>
    </row>
    <row r="1729" spans="5:8">
      <c r="E1729" s="25" t="str">
        <f>IFERROR(VLOOKUP($B1729,テーブル12[],2,FALSE),"")</f>
        <v/>
      </c>
      <c r="F1729" s="25" t="str">
        <f>IFERROR(VLOOKUP($B1729,テーブル12[],3,FALSE),"")</f>
        <v/>
      </c>
      <c r="G1729" s="31" t="str">
        <f>IFERROR(VLOOKUP($B1729,テーブル12[],4,FALSE),"")</f>
        <v/>
      </c>
      <c r="H1729" s="25" t="str">
        <f t="shared" si="32"/>
        <v/>
      </c>
    </row>
    <row r="1730" spans="5:8">
      <c r="E1730" s="25" t="str">
        <f>IFERROR(VLOOKUP($B1730,テーブル12[],2,FALSE),"")</f>
        <v/>
      </c>
      <c r="F1730" s="25" t="str">
        <f>IFERROR(VLOOKUP($B1730,テーブル12[],3,FALSE),"")</f>
        <v/>
      </c>
      <c r="G1730" s="31" t="str">
        <f>IFERROR(VLOOKUP($B1730,テーブル12[],4,FALSE),"")</f>
        <v/>
      </c>
      <c r="H1730" s="25" t="str">
        <f t="shared" ref="H1730:H1793" si="33">IF(C1730=0,"",C1730)</f>
        <v/>
      </c>
    </row>
    <row r="1731" spans="5:8">
      <c r="E1731" s="25" t="str">
        <f>IFERROR(VLOOKUP($B1731,テーブル12[],2,FALSE),"")</f>
        <v/>
      </c>
      <c r="F1731" s="25" t="str">
        <f>IFERROR(VLOOKUP($B1731,テーブル12[],3,FALSE),"")</f>
        <v/>
      </c>
      <c r="G1731" s="31" t="str">
        <f>IFERROR(VLOOKUP($B1731,テーブル12[],4,FALSE),"")</f>
        <v/>
      </c>
      <c r="H1731" s="25" t="str">
        <f t="shared" si="33"/>
        <v/>
      </c>
    </row>
    <row r="1732" spans="5:8">
      <c r="E1732" s="25" t="str">
        <f>IFERROR(VLOOKUP($B1732,テーブル12[],2,FALSE),"")</f>
        <v/>
      </c>
      <c r="F1732" s="25" t="str">
        <f>IFERROR(VLOOKUP($B1732,テーブル12[],3,FALSE),"")</f>
        <v/>
      </c>
      <c r="G1732" s="31" t="str">
        <f>IFERROR(VLOOKUP($B1732,テーブル12[],4,FALSE),"")</f>
        <v/>
      </c>
      <c r="H1732" s="25" t="str">
        <f t="shared" si="33"/>
        <v/>
      </c>
    </row>
    <row r="1733" spans="5:8">
      <c r="E1733" s="25" t="str">
        <f>IFERROR(VLOOKUP($B1733,テーブル12[],2,FALSE),"")</f>
        <v/>
      </c>
      <c r="F1733" s="25" t="str">
        <f>IFERROR(VLOOKUP($B1733,テーブル12[],3,FALSE),"")</f>
        <v/>
      </c>
      <c r="G1733" s="31" t="str">
        <f>IFERROR(VLOOKUP($B1733,テーブル12[],4,FALSE),"")</f>
        <v/>
      </c>
      <c r="H1733" s="25" t="str">
        <f t="shared" si="33"/>
        <v/>
      </c>
    </row>
    <row r="1734" spans="5:8">
      <c r="E1734" s="25" t="str">
        <f>IFERROR(VLOOKUP($B1734,テーブル12[],2,FALSE),"")</f>
        <v/>
      </c>
      <c r="F1734" s="25" t="str">
        <f>IFERROR(VLOOKUP($B1734,テーブル12[],3,FALSE),"")</f>
        <v/>
      </c>
      <c r="G1734" s="31" t="str">
        <f>IFERROR(VLOOKUP($B1734,テーブル12[],4,FALSE),"")</f>
        <v/>
      </c>
      <c r="H1734" s="25" t="str">
        <f t="shared" si="33"/>
        <v/>
      </c>
    </row>
    <row r="1735" spans="5:8">
      <c r="E1735" s="25" t="str">
        <f>IFERROR(VLOOKUP($B1735,テーブル12[],2,FALSE),"")</f>
        <v/>
      </c>
      <c r="F1735" s="25" t="str">
        <f>IFERROR(VLOOKUP($B1735,テーブル12[],3,FALSE),"")</f>
        <v/>
      </c>
      <c r="G1735" s="31" t="str">
        <f>IFERROR(VLOOKUP($B1735,テーブル12[],4,FALSE),"")</f>
        <v/>
      </c>
      <c r="H1735" s="25" t="str">
        <f t="shared" si="33"/>
        <v/>
      </c>
    </row>
    <row r="1736" spans="5:8">
      <c r="E1736" s="25" t="str">
        <f>IFERROR(VLOOKUP($B1736,テーブル12[],2,FALSE),"")</f>
        <v/>
      </c>
      <c r="F1736" s="25" t="str">
        <f>IFERROR(VLOOKUP($B1736,テーブル12[],3,FALSE),"")</f>
        <v/>
      </c>
      <c r="G1736" s="31" t="str">
        <f>IFERROR(VLOOKUP($B1736,テーブル12[],4,FALSE),"")</f>
        <v/>
      </c>
      <c r="H1736" s="25" t="str">
        <f t="shared" si="33"/>
        <v/>
      </c>
    </row>
    <row r="1737" spans="5:8">
      <c r="E1737" s="25" t="str">
        <f>IFERROR(VLOOKUP($B1737,テーブル12[],2,FALSE),"")</f>
        <v/>
      </c>
      <c r="F1737" s="25" t="str">
        <f>IFERROR(VLOOKUP($B1737,テーブル12[],3,FALSE),"")</f>
        <v/>
      </c>
      <c r="G1737" s="31" t="str">
        <f>IFERROR(VLOOKUP($B1737,テーブル12[],4,FALSE),"")</f>
        <v/>
      </c>
      <c r="H1737" s="25" t="str">
        <f t="shared" si="33"/>
        <v/>
      </c>
    </row>
    <row r="1738" spans="5:8">
      <c r="E1738" s="25" t="str">
        <f>IFERROR(VLOOKUP($B1738,テーブル12[],2,FALSE),"")</f>
        <v/>
      </c>
      <c r="F1738" s="25" t="str">
        <f>IFERROR(VLOOKUP($B1738,テーブル12[],3,FALSE),"")</f>
        <v/>
      </c>
      <c r="G1738" s="31" t="str">
        <f>IFERROR(VLOOKUP($B1738,テーブル12[],4,FALSE),"")</f>
        <v/>
      </c>
      <c r="H1738" s="25" t="str">
        <f t="shared" si="33"/>
        <v/>
      </c>
    </row>
    <row r="1739" spans="5:8">
      <c r="E1739" s="25" t="str">
        <f>IFERROR(VLOOKUP($B1739,テーブル12[],2,FALSE),"")</f>
        <v/>
      </c>
      <c r="F1739" s="25" t="str">
        <f>IFERROR(VLOOKUP($B1739,テーブル12[],3,FALSE),"")</f>
        <v/>
      </c>
      <c r="G1739" s="31" t="str">
        <f>IFERROR(VLOOKUP($B1739,テーブル12[],4,FALSE),"")</f>
        <v/>
      </c>
      <c r="H1739" s="25" t="str">
        <f t="shared" si="33"/>
        <v/>
      </c>
    </row>
    <row r="1740" spans="5:8">
      <c r="E1740" s="25" t="str">
        <f>IFERROR(VLOOKUP($B1740,テーブル12[],2,FALSE),"")</f>
        <v/>
      </c>
      <c r="F1740" s="25" t="str">
        <f>IFERROR(VLOOKUP($B1740,テーブル12[],3,FALSE),"")</f>
        <v/>
      </c>
      <c r="G1740" s="31" t="str">
        <f>IFERROR(VLOOKUP($B1740,テーブル12[],4,FALSE),"")</f>
        <v/>
      </c>
      <c r="H1740" s="25" t="str">
        <f t="shared" si="33"/>
        <v/>
      </c>
    </row>
    <row r="1741" spans="5:8">
      <c r="E1741" s="25" t="str">
        <f>IFERROR(VLOOKUP($B1741,テーブル12[],2,FALSE),"")</f>
        <v/>
      </c>
      <c r="F1741" s="25" t="str">
        <f>IFERROR(VLOOKUP($B1741,テーブル12[],3,FALSE),"")</f>
        <v/>
      </c>
      <c r="G1741" s="31" t="str">
        <f>IFERROR(VLOOKUP($B1741,テーブル12[],4,FALSE),"")</f>
        <v/>
      </c>
      <c r="H1741" s="25" t="str">
        <f t="shared" si="33"/>
        <v/>
      </c>
    </row>
    <row r="1742" spans="5:8">
      <c r="E1742" s="25" t="str">
        <f>IFERROR(VLOOKUP($B1742,テーブル12[],2,FALSE),"")</f>
        <v/>
      </c>
      <c r="F1742" s="25" t="str">
        <f>IFERROR(VLOOKUP($B1742,テーブル12[],3,FALSE),"")</f>
        <v/>
      </c>
      <c r="G1742" s="31" t="str">
        <f>IFERROR(VLOOKUP($B1742,テーブル12[],4,FALSE),"")</f>
        <v/>
      </c>
      <c r="H1742" s="25" t="str">
        <f t="shared" si="33"/>
        <v/>
      </c>
    </row>
    <row r="1743" spans="5:8">
      <c r="E1743" s="25" t="str">
        <f>IFERROR(VLOOKUP($B1743,テーブル12[],2,FALSE),"")</f>
        <v/>
      </c>
      <c r="F1743" s="25" t="str">
        <f>IFERROR(VLOOKUP($B1743,テーブル12[],3,FALSE),"")</f>
        <v/>
      </c>
      <c r="G1743" s="31" t="str">
        <f>IFERROR(VLOOKUP($B1743,テーブル12[],4,FALSE),"")</f>
        <v/>
      </c>
      <c r="H1743" s="25" t="str">
        <f t="shared" si="33"/>
        <v/>
      </c>
    </row>
    <row r="1744" spans="5:8">
      <c r="E1744" s="25" t="str">
        <f>IFERROR(VLOOKUP($B1744,テーブル12[],2,FALSE),"")</f>
        <v/>
      </c>
      <c r="F1744" s="25" t="str">
        <f>IFERROR(VLOOKUP($B1744,テーブル12[],3,FALSE),"")</f>
        <v/>
      </c>
      <c r="G1744" s="31" t="str">
        <f>IFERROR(VLOOKUP($B1744,テーブル12[],4,FALSE),"")</f>
        <v/>
      </c>
      <c r="H1744" s="25" t="str">
        <f t="shared" si="33"/>
        <v/>
      </c>
    </row>
    <row r="1745" spans="5:8">
      <c r="E1745" s="25" t="str">
        <f>IFERROR(VLOOKUP($B1745,テーブル12[],2,FALSE),"")</f>
        <v/>
      </c>
      <c r="F1745" s="25" t="str">
        <f>IFERROR(VLOOKUP($B1745,テーブル12[],3,FALSE),"")</f>
        <v/>
      </c>
      <c r="G1745" s="31" t="str">
        <f>IFERROR(VLOOKUP($B1745,テーブル12[],4,FALSE),"")</f>
        <v/>
      </c>
      <c r="H1745" s="25" t="str">
        <f t="shared" si="33"/>
        <v/>
      </c>
    </row>
    <row r="1746" spans="5:8">
      <c r="E1746" s="25" t="str">
        <f>IFERROR(VLOOKUP($B1746,テーブル12[],2,FALSE),"")</f>
        <v/>
      </c>
      <c r="F1746" s="25" t="str">
        <f>IFERROR(VLOOKUP($B1746,テーブル12[],3,FALSE),"")</f>
        <v/>
      </c>
      <c r="G1746" s="31" t="str">
        <f>IFERROR(VLOOKUP($B1746,テーブル12[],4,FALSE),"")</f>
        <v/>
      </c>
      <c r="H1746" s="25" t="str">
        <f t="shared" si="33"/>
        <v/>
      </c>
    </row>
    <row r="1747" spans="5:8">
      <c r="E1747" s="25" t="str">
        <f>IFERROR(VLOOKUP($B1747,テーブル12[],2,FALSE),"")</f>
        <v/>
      </c>
      <c r="F1747" s="25" t="str">
        <f>IFERROR(VLOOKUP($B1747,テーブル12[],3,FALSE),"")</f>
        <v/>
      </c>
      <c r="G1747" s="31" t="str">
        <f>IFERROR(VLOOKUP($B1747,テーブル12[],4,FALSE),"")</f>
        <v/>
      </c>
      <c r="H1747" s="25" t="str">
        <f t="shared" si="33"/>
        <v/>
      </c>
    </row>
    <row r="1748" spans="5:8">
      <c r="E1748" s="25" t="str">
        <f>IFERROR(VLOOKUP($B1748,テーブル12[],2,FALSE),"")</f>
        <v/>
      </c>
      <c r="F1748" s="25" t="str">
        <f>IFERROR(VLOOKUP($B1748,テーブル12[],3,FALSE),"")</f>
        <v/>
      </c>
      <c r="G1748" s="31" t="str">
        <f>IFERROR(VLOOKUP($B1748,テーブル12[],4,FALSE),"")</f>
        <v/>
      </c>
      <c r="H1748" s="25" t="str">
        <f t="shared" si="33"/>
        <v/>
      </c>
    </row>
    <row r="1749" spans="5:8">
      <c r="E1749" s="25" t="str">
        <f>IFERROR(VLOOKUP($B1749,テーブル12[],2,FALSE),"")</f>
        <v/>
      </c>
      <c r="F1749" s="25" t="str">
        <f>IFERROR(VLOOKUP($B1749,テーブル12[],3,FALSE),"")</f>
        <v/>
      </c>
      <c r="G1749" s="31" t="str">
        <f>IFERROR(VLOOKUP($B1749,テーブル12[],4,FALSE),"")</f>
        <v/>
      </c>
      <c r="H1749" s="25" t="str">
        <f t="shared" si="33"/>
        <v/>
      </c>
    </row>
    <row r="1750" spans="5:8">
      <c r="E1750" s="25" t="str">
        <f>IFERROR(VLOOKUP($B1750,テーブル12[],2,FALSE),"")</f>
        <v/>
      </c>
      <c r="F1750" s="25" t="str">
        <f>IFERROR(VLOOKUP($B1750,テーブル12[],3,FALSE),"")</f>
        <v/>
      </c>
      <c r="G1750" s="31" t="str">
        <f>IFERROR(VLOOKUP($B1750,テーブル12[],4,FALSE),"")</f>
        <v/>
      </c>
      <c r="H1750" s="25" t="str">
        <f t="shared" si="33"/>
        <v/>
      </c>
    </row>
    <row r="1751" spans="5:8">
      <c r="E1751" s="25" t="str">
        <f>IFERROR(VLOOKUP($B1751,テーブル12[],2,FALSE),"")</f>
        <v/>
      </c>
      <c r="F1751" s="25" t="str">
        <f>IFERROR(VLOOKUP($B1751,テーブル12[],3,FALSE),"")</f>
        <v/>
      </c>
      <c r="G1751" s="31" t="str">
        <f>IFERROR(VLOOKUP($B1751,テーブル12[],4,FALSE),"")</f>
        <v/>
      </c>
      <c r="H1751" s="25" t="str">
        <f t="shared" si="33"/>
        <v/>
      </c>
    </row>
    <row r="1752" spans="5:8">
      <c r="E1752" s="25" t="str">
        <f>IFERROR(VLOOKUP($B1752,テーブル12[],2,FALSE),"")</f>
        <v/>
      </c>
      <c r="F1752" s="25" t="str">
        <f>IFERROR(VLOOKUP($B1752,テーブル12[],3,FALSE),"")</f>
        <v/>
      </c>
      <c r="G1752" s="31" t="str">
        <f>IFERROR(VLOOKUP($B1752,テーブル12[],4,FALSE),"")</f>
        <v/>
      </c>
      <c r="H1752" s="25" t="str">
        <f t="shared" si="33"/>
        <v/>
      </c>
    </row>
    <row r="1753" spans="5:8">
      <c r="E1753" s="25" t="str">
        <f>IFERROR(VLOOKUP($B1753,テーブル12[],2,FALSE),"")</f>
        <v/>
      </c>
      <c r="F1753" s="25" t="str">
        <f>IFERROR(VLOOKUP($B1753,テーブル12[],3,FALSE),"")</f>
        <v/>
      </c>
      <c r="G1753" s="31" t="str">
        <f>IFERROR(VLOOKUP($B1753,テーブル12[],4,FALSE),"")</f>
        <v/>
      </c>
      <c r="H1753" s="25" t="str">
        <f t="shared" si="33"/>
        <v/>
      </c>
    </row>
    <row r="1754" spans="5:8">
      <c r="E1754" s="25" t="str">
        <f>IFERROR(VLOOKUP($B1754,テーブル12[],2,FALSE),"")</f>
        <v/>
      </c>
      <c r="F1754" s="25" t="str">
        <f>IFERROR(VLOOKUP($B1754,テーブル12[],3,FALSE),"")</f>
        <v/>
      </c>
      <c r="G1754" s="31" t="str">
        <f>IFERROR(VLOOKUP($B1754,テーブル12[],4,FALSE),"")</f>
        <v/>
      </c>
      <c r="H1754" s="25" t="str">
        <f t="shared" si="33"/>
        <v/>
      </c>
    </row>
    <row r="1755" spans="5:8">
      <c r="E1755" s="25" t="str">
        <f>IFERROR(VLOOKUP($B1755,テーブル12[],2,FALSE),"")</f>
        <v/>
      </c>
      <c r="F1755" s="25" t="str">
        <f>IFERROR(VLOOKUP($B1755,テーブル12[],3,FALSE),"")</f>
        <v/>
      </c>
      <c r="G1755" s="31" t="str">
        <f>IFERROR(VLOOKUP($B1755,テーブル12[],4,FALSE),"")</f>
        <v/>
      </c>
      <c r="H1755" s="25" t="str">
        <f t="shared" si="33"/>
        <v/>
      </c>
    </row>
    <row r="1756" spans="5:8">
      <c r="E1756" s="25" t="str">
        <f>IFERROR(VLOOKUP($B1756,テーブル12[],2,FALSE),"")</f>
        <v/>
      </c>
      <c r="F1756" s="25" t="str">
        <f>IFERROR(VLOOKUP($B1756,テーブル12[],3,FALSE),"")</f>
        <v/>
      </c>
      <c r="G1756" s="31" t="str">
        <f>IFERROR(VLOOKUP($B1756,テーブル12[],4,FALSE),"")</f>
        <v/>
      </c>
      <c r="H1756" s="25" t="str">
        <f t="shared" si="33"/>
        <v/>
      </c>
    </row>
    <row r="1757" spans="5:8">
      <c r="E1757" s="25" t="str">
        <f>IFERROR(VLOOKUP($B1757,テーブル12[],2,FALSE),"")</f>
        <v/>
      </c>
      <c r="F1757" s="25" t="str">
        <f>IFERROR(VLOOKUP($B1757,テーブル12[],3,FALSE),"")</f>
        <v/>
      </c>
      <c r="G1757" s="31" t="str">
        <f>IFERROR(VLOOKUP($B1757,テーブル12[],4,FALSE),"")</f>
        <v/>
      </c>
      <c r="H1757" s="25" t="str">
        <f t="shared" si="33"/>
        <v/>
      </c>
    </row>
    <row r="1758" spans="5:8">
      <c r="E1758" s="25" t="str">
        <f>IFERROR(VLOOKUP($B1758,テーブル12[],2,FALSE),"")</f>
        <v/>
      </c>
      <c r="F1758" s="25" t="str">
        <f>IFERROR(VLOOKUP($B1758,テーブル12[],3,FALSE),"")</f>
        <v/>
      </c>
      <c r="G1758" s="31" t="str">
        <f>IFERROR(VLOOKUP($B1758,テーブル12[],4,FALSE),"")</f>
        <v/>
      </c>
      <c r="H1758" s="25" t="str">
        <f t="shared" si="33"/>
        <v/>
      </c>
    </row>
    <row r="1759" spans="5:8">
      <c r="E1759" s="25" t="str">
        <f>IFERROR(VLOOKUP($B1759,テーブル12[],2,FALSE),"")</f>
        <v/>
      </c>
      <c r="F1759" s="25" t="str">
        <f>IFERROR(VLOOKUP($B1759,テーブル12[],3,FALSE),"")</f>
        <v/>
      </c>
      <c r="G1759" s="31" t="str">
        <f>IFERROR(VLOOKUP($B1759,テーブル12[],4,FALSE),"")</f>
        <v/>
      </c>
      <c r="H1759" s="25" t="str">
        <f t="shared" si="33"/>
        <v/>
      </c>
    </row>
    <row r="1760" spans="5:8">
      <c r="E1760" s="25" t="str">
        <f>IFERROR(VLOOKUP($B1760,テーブル12[],2,FALSE),"")</f>
        <v/>
      </c>
      <c r="F1760" s="25" t="str">
        <f>IFERROR(VLOOKUP($B1760,テーブル12[],3,FALSE),"")</f>
        <v/>
      </c>
      <c r="G1760" s="31" t="str">
        <f>IFERROR(VLOOKUP($B1760,テーブル12[],4,FALSE),"")</f>
        <v/>
      </c>
      <c r="H1760" s="25" t="str">
        <f t="shared" si="33"/>
        <v/>
      </c>
    </row>
    <row r="1761" spans="5:8">
      <c r="E1761" s="25" t="str">
        <f>IFERROR(VLOOKUP($B1761,テーブル12[],2,FALSE),"")</f>
        <v/>
      </c>
      <c r="F1761" s="25" t="str">
        <f>IFERROR(VLOOKUP($B1761,テーブル12[],3,FALSE),"")</f>
        <v/>
      </c>
      <c r="G1761" s="31" t="str">
        <f>IFERROR(VLOOKUP($B1761,テーブル12[],4,FALSE),"")</f>
        <v/>
      </c>
      <c r="H1761" s="25" t="str">
        <f t="shared" si="33"/>
        <v/>
      </c>
    </row>
    <row r="1762" spans="5:8">
      <c r="E1762" s="25" t="str">
        <f>IFERROR(VLOOKUP($B1762,テーブル12[],2,FALSE),"")</f>
        <v/>
      </c>
      <c r="F1762" s="25" t="str">
        <f>IFERROR(VLOOKUP($B1762,テーブル12[],3,FALSE),"")</f>
        <v/>
      </c>
      <c r="G1762" s="31" t="str">
        <f>IFERROR(VLOOKUP($B1762,テーブル12[],4,FALSE),"")</f>
        <v/>
      </c>
      <c r="H1762" s="25" t="str">
        <f t="shared" si="33"/>
        <v/>
      </c>
    </row>
    <row r="1763" spans="5:8">
      <c r="E1763" s="25" t="str">
        <f>IFERROR(VLOOKUP($B1763,テーブル12[],2,FALSE),"")</f>
        <v/>
      </c>
      <c r="F1763" s="25" t="str">
        <f>IFERROR(VLOOKUP($B1763,テーブル12[],3,FALSE),"")</f>
        <v/>
      </c>
      <c r="G1763" s="31" t="str">
        <f>IFERROR(VLOOKUP($B1763,テーブル12[],4,FALSE),"")</f>
        <v/>
      </c>
      <c r="H1763" s="25" t="str">
        <f t="shared" si="33"/>
        <v/>
      </c>
    </row>
    <row r="1764" spans="5:8">
      <c r="E1764" s="25" t="str">
        <f>IFERROR(VLOOKUP($B1764,テーブル12[],2,FALSE),"")</f>
        <v/>
      </c>
      <c r="F1764" s="25" t="str">
        <f>IFERROR(VLOOKUP($B1764,テーブル12[],3,FALSE),"")</f>
        <v/>
      </c>
      <c r="G1764" s="31" t="str">
        <f>IFERROR(VLOOKUP($B1764,テーブル12[],4,FALSE),"")</f>
        <v/>
      </c>
      <c r="H1764" s="25" t="str">
        <f t="shared" si="33"/>
        <v/>
      </c>
    </row>
    <row r="1765" spans="5:8">
      <c r="E1765" s="25" t="str">
        <f>IFERROR(VLOOKUP($B1765,テーブル12[],2,FALSE),"")</f>
        <v/>
      </c>
      <c r="F1765" s="25" t="str">
        <f>IFERROR(VLOOKUP($B1765,テーブル12[],3,FALSE),"")</f>
        <v/>
      </c>
      <c r="G1765" s="31" t="str">
        <f>IFERROR(VLOOKUP($B1765,テーブル12[],4,FALSE),"")</f>
        <v/>
      </c>
      <c r="H1765" s="25" t="str">
        <f t="shared" si="33"/>
        <v/>
      </c>
    </row>
    <row r="1766" spans="5:8">
      <c r="E1766" s="25" t="str">
        <f>IFERROR(VLOOKUP($B1766,テーブル12[],2,FALSE),"")</f>
        <v/>
      </c>
      <c r="F1766" s="25" t="str">
        <f>IFERROR(VLOOKUP($B1766,テーブル12[],3,FALSE),"")</f>
        <v/>
      </c>
      <c r="G1766" s="31" t="str">
        <f>IFERROR(VLOOKUP($B1766,テーブル12[],4,FALSE),"")</f>
        <v/>
      </c>
      <c r="H1766" s="25" t="str">
        <f t="shared" si="33"/>
        <v/>
      </c>
    </row>
    <row r="1767" spans="5:8">
      <c r="E1767" s="25" t="str">
        <f>IFERROR(VLOOKUP($B1767,テーブル12[],2,FALSE),"")</f>
        <v/>
      </c>
      <c r="F1767" s="25" t="str">
        <f>IFERROR(VLOOKUP($B1767,テーブル12[],3,FALSE),"")</f>
        <v/>
      </c>
      <c r="G1767" s="31" t="str">
        <f>IFERROR(VLOOKUP($B1767,テーブル12[],4,FALSE),"")</f>
        <v/>
      </c>
      <c r="H1767" s="25" t="str">
        <f t="shared" si="33"/>
        <v/>
      </c>
    </row>
    <row r="1768" spans="5:8">
      <c r="E1768" s="25" t="str">
        <f>IFERROR(VLOOKUP($B1768,テーブル12[],2,FALSE),"")</f>
        <v/>
      </c>
      <c r="F1768" s="25" t="str">
        <f>IFERROR(VLOOKUP($B1768,テーブル12[],3,FALSE),"")</f>
        <v/>
      </c>
      <c r="G1768" s="31" t="str">
        <f>IFERROR(VLOOKUP($B1768,テーブル12[],4,FALSE),"")</f>
        <v/>
      </c>
      <c r="H1768" s="25" t="str">
        <f t="shared" si="33"/>
        <v/>
      </c>
    </row>
    <row r="1769" spans="5:8">
      <c r="E1769" s="25" t="str">
        <f>IFERROR(VLOOKUP($B1769,テーブル12[],2,FALSE),"")</f>
        <v/>
      </c>
      <c r="F1769" s="25" t="str">
        <f>IFERROR(VLOOKUP($B1769,テーブル12[],3,FALSE),"")</f>
        <v/>
      </c>
      <c r="G1769" s="31" t="str">
        <f>IFERROR(VLOOKUP($B1769,テーブル12[],4,FALSE),"")</f>
        <v/>
      </c>
      <c r="H1769" s="25" t="str">
        <f t="shared" si="33"/>
        <v/>
      </c>
    </row>
    <row r="1770" spans="5:8">
      <c r="E1770" s="25" t="str">
        <f>IFERROR(VLOOKUP($B1770,テーブル12[],2,FALSE),"")</f>
        <v/>
      </c>
      <c r="F1770" s="25" t="str">
        <f>IFERROR(VLOOKUP($B1770,テーブル12[],3,FALSE),"")</f>
        <v/>
      </c>
      <c r="G1770" s="31" t="str">
        <f>IFERROR(VLOOKUP($B1770,テーブル12[],4,FALSE),"")</f>
        <v/>
      </c>
      <c r="H1770" s="25" t="str">
        <f t="shared" si="33"/>
        <v/>
      </c>
    </row>
    <row r="1771" spans="5:8">
      <c r="E1771" s="25" t="str">
        <f>IFERROR(VLOOKUP($B1771,テーブル12[],2,FALSE),"")</f>
        <v/>
      </c>
      <c r="F1771" s="25" t="str">
        <f>IFERROR(VLOOKUP($B1771,テーブル12[],3,FALSE),"")</f>
        <v/>
      </c>
      <c r="G1771" s="31" t="str">
        <f>IFERROR(VLOOKUP($B1771,テーブル12[],4,FALSE),"")</f>
        <v/>
      </c>
      <c r="H1771" s="25" t="str">
        <f t="shared" si="33"/>
        <v/>
      </c>
    </row>
    <row r="1772" spans="5:8">
      <c r="E1772" s="25" t="str">
        <f>IFERROR(VLOOKUP($B1772,テーブル12[],2,FALSE),"")</f>
        <v/>
      </c>
      <c r="F1772" s="25" t="str">
        <f>IFERROR(VLOOKUP($B1772,テーブル12[],3,FALSE),"")</f>
        <v/>
      </c>
      <c r="G1772" s="31" t="str">
        <f>IFERROR(VLOOKUP($B1772,テーブル12[],4,FALSE),"")</f>
        <v/>
      </c>
      <c r="H1772" s="25" t="str">
        <f t="shared" si="33"/>
        <v/>
      </c>
    </row>
    <row r="1773" spans="5:8">
      <c r="E1773" s="25" t="str">
        <f>IFERROR(VLOOKUP($B1773,テーブル12[],2,FALSE),"")</f>
        <v/>
      </c>
      <c r="F1773" s="25" t="str">
        <f>IFERROR(VLOOKUP($B1773,テーブル12[],3,FALSE),"")</f>
        <v/>
      </c>
      <c r="G1773" s="31" t="str">
        <f>IFERROR(VLOOKUP($B1773,テーブル12[],4,FALSE),"")</f>
        <v/>
      </c>
      <c r="H1773" s="25" t="str">
        <f t="shared" si="33"/>
        <v/>
      </c>
    </row>
    <row r="1774" spans="5:8">
      <c r="E1774" s="25" t="str">
        <f>IFERROR(VLOOKUP($B1774,テーブル12[],2,FALSE),"")</f>
        <v/>
      </c>
      <c r="F1774" s="25" t="str">
        <f>IFERROR(VLOOKUP($B1774,テーブル12[],3,FALSE),"")</f>
        <v/>
      </c>
      <c r="G1774" s="31" t="str">
        <f>IFERROR(VLOOKUP($B1774,テーブル12[],4,FALSE),"")</f>
        <v/>
      </c>
      <c r="H1774" s="25" t="str">
        <f t="shared" si="33"/>
        <v/>
      </c>
    </row>
    <row r="1775" spans="5:8">
      <c r="E1775" s="25" t="str">
        <f>IFERROR(VLOOKUP($B1775,テーブル12[],2,FALSE),"")</f>
        <v/>
      </c>
      <c r="F1775" s="25" t="str">
        <f>IFERROR(VLOOKUP($B1775,テーブル12[],3,FALSE),"")</f>
        <v/>
      </c>
      <c r="G1775" s="31" t="str">
        <f>IFERROR(VLOOKUP($B1775,テーブル12[],4,FALSE),"")</f>
        <v/>
      </c>
      <c r="H1775" s="25" t="str">
        <f t="shared" si="33"/>
        <v/>
      </c>
    </row>
    <row r="1776" spans="5:8">
      <c r="E1776" s="25" t="str">
        <f>IFERROR(VLOOKUP($B1776,テーブル12[],2,FALSE),"")</f>
        <v/>
      </c>
      <c r="F1776" s="25" t="str">
        <f>IFERROR(VLOOKUP($B1776,テーブル12[],3,FALSE),"")</f>
        <v/>
      </c>
      <c r="G1776" s="31" t="str">
        <f>IFERROR(VLOOKUP($B1776,テーブル12[],4,FALSE),"")</f>
        <v/>
      </c>
      <c r="H1776" s="25" t="str">
        <f t="shared" si="33"/>
        <v/>
      </c>
    </row>
    <row r="1777" spans="5:8">
      <c r="E1777" s="25" t="str">
        <f>IFERROR(VLOOKUP($B1777,テーブル12[],2,FALSE),"")</f>
        <v/>
      </c>
      <c r="F1777" s="25" t="str">
        <f>IFERROR(VLOOKUP($B1777,テーブル12[],3,FALSE),"")</f>
        <v/>
      </c>
      <c r="G1777" s="31" t="str">
        <f>IFERROR(VLOOKUP($B1777,テーブル12[],4,FALSE),"")</f>
        <v/>
      </c>
      <c r="H1777" s="25" t="str">
        <f t="shared" si="33"/>
        <v/>
      </c>
    </row>
    <row r="1778" spans="5:8">
      <c r="E1778" s="25" t="str">
        <f>IFERROR(VLOOKUP($B1778,テーブル12[],2,FALSE),"")</f>
        <v/>
      </c>
      <c r="F1778" s="25" t="str">
        <f>IFERROR(VLOOKUP($B1778,テーブル12[],3,FALSE),"")</f>
        <v/>
      </c>
      <c r="G1778" s="31" t="str">
        <f>IFERROR(VLOOKUP($B1778,テーブル12[],4,FALSE),"")</f>
        <v/>
      </c>
      <c r="H1778" s="25" t="str">
        <f t="shared" si="33"/>
        <v/>
      </c>
    </row>
    <row r="1779" spans="5:8">
      <c r="E1779" s="25" t="str">
        <f>IFERROR(VLOOKUP($B1779,テーブル12[],2,FALSE),"")</f>
        <v/>
      </c>
      <c r="F1779" s="25" t="str">
        <f>IFERROR(VLOOKUP($B1779,テーブル12[],3,FALSE),"")</f>
        <v/>
      </c>
      <c r="G1779" s="31" t="str">
        <f>IFERROR(VLOOKUP($B1779,テーブル12[],4,FALSE),"")</f>
        <v/>
      </c>
      <c r="H1779" s="25" t="str">
        <f t="shared" si="33"/>
        <v/>
      </c>
    </row>
    <row r="1780" spans="5:8">
      <c r="E1780" s="25" t="str">
        <f>IFERROR(VLOOKUP($B1780,テーブル12[],2,FALSE),"")</f>
        <v/>
      </c>
      <c r="F1780" s="25" t="str">
        <f>IFERROR(VLOOKUP($B1780,テーブル12[],3,FALSE),"")</f>
        <v/>
      </c>
      <c r="G1780" s="31" t="str">
        <f>IFERROR(VLOOKUP($B1780,テーブル12[],4,FALSE),"")</f>
        <v/>
      </c>
      <c r="H1780" s="25" t="str">
        <f t="shared" si="33"/>
        <v/>
      </c>
    </row>
    <row r="1781" spans="5:8">
      <c r="E1781" s="25" t="str">
        <f>IFERROR(VLOOKUP($B1781,テーブル12[],2,FALSE),"")</f>
        <v/>
      </c>
      <c r="F1781" s="25" t="str">
        <f>IFERROR(VLOOKUP($B1781,テーブル12[],3,FALSE),"")</f>
        <v/>
      </c>
      <c r="G1781" s="31" t="str">
        <f>IFERROR(VLOOKUP($B1781,テーブル12[],4,FALSE),"")</f>
        <v/>
      </c>
      <c r="H1781" s="25" t="str">
        <f t="shared" si="33"/>
        <v/>
      </c>
    </row>
    <row r="1782" spans="5:8">
      <c r="E1782" s="25" t="str">
        <f>IFERROR(VLOOKUP($B1782,テーブル12[],2,FALSE),"")</f>
        <v/>
      </c>
      <c r="F1782" s="25" t="str">
        <f>IFERROR(VLOOKUP($B1782,テーブル12[],3,FALSE),"")</f>
        <v/>
      </c>
      <c r="G1782" s="31" t="str">
        <f>IFERROR(VLOOKUP($B1782,テーブル12[],4,FALSE),"")</f>
        <v/>
      </c>
      <c r="H1782" s="25" t="str">
        <f t="shared" si="33"/>
        <v/>
      </c>
    </row>
    <row r="1783" spans="5:8">
      <c r="E1783" s="25" t="str">
        <f>IFERROR(VLOOKUP($B1783,テーブル12[],2,FALSE),"")</f>
        <v/>
      </c>
      <c r="F1783" s="25" t="str">
        <f>IFERROR(VLOOKUP($B1783,テーブル12[],3,FALSE),"")</f>
        <v/>
      </c>
      <c r="G1783" s="31" t="str">
        <f>IFERROR(VLOOKUP($B1783,テーブル12[],4,FALSE),"")</f>
        <v/>
      </c>
      <c r="H1783" s="25" t="str">
        <f t="shared" si="33"/>
        <v/>
      </c>
    </row>
    <row r="1784" spans="5:8">
      <c r="E1784" s="25" t="str">
        <f>IFERROR(VLOOKUP($B1784,テーブル12[],2,FALSE),"")</f>
        <v/>
      </c>
      <c r="F1784" s="25" t="str">
        <f>IFERROR(VLOOKUP($B1784,テーブル12[],3,FALSE),"")</f>
        <v/>
      </c>
      <c r="G1784" s="31" t="str">
        <f>IFERROR(VLOOKUP($B1784,テーブル12[],4,FALSE),"")</f>
        <v/>
      </c>
      <c r="H1784" s="25" t="str">
        <f t="shared" si="33"/>
        <v/>
      </c>
    </row>
    <row r="1785" spans="5:8">
      <c r="E1785" s="25" t="str">
        <f>IFERROR(VLOOKUP($B1785,テーブル12[],2,FALSE),"")</f>
        <v/>
      </c>
      <c r="F1785" s="25" t="str">
        <f>IFERROR(VLOOKUP($B1785,テーブル12[],3,FALSE),"")</f>
        <v/>
      </c>
      <c r="G1785" s="31" t="str">
        <f>IFERROR(VLOOKUP($B1785,テーブル12[],4,FALSE),"")</f>
        <v/>
      </c>
      <c r="H1785" s="25" t="str">
        <f t="shared" si="33"/>
        <v/>
      </c>
    </row>
    <row r="1786" spans="5:8">
      <c r="E1786" s="25" t="str">
        <f>IFERROR(VLOOKUP($B1786,テーブル12[],2,FALSE),"")</f>
        <v/>
      </c>
      <c r="F1786" s="25" t="str">
        <f>IFERROR(VLOOKUP($B1786,テーブル12[],3,FALSE),"")</f>
        <v/>
      </c>
      <c r="G1786" s="31" t="str">
        <f>IFERROR(VLOOKUP($B1786,テーブル12[],4,FALSE),"")</f>
        <v/>
      </c>
      <c r="H1786" s="25" t="str">
        <f t="shared" si="33"/>
        <v/>
      </c>
    </row>
    <row r="1787" spans="5:8">
      <c r="E1787" s="25" t="str">
        <f>IFERROR(VLOOKUP($B1787,テーブル12[],2,FALSE),"")</f>
        <v/>
      </c>
      <c r="F1787" s="25" t="str">
        <f>IFERROR(VLOOKUP($B1787,テーブル12[],3,FALSE),"")</f>
        <v/>
      </c>
      <c r="G1787" s="31" t="str">
        <f>IFERROR(VLOOKUP($B1787,テーブル12[],4,FALSE),"")</f>
        <v/>
      </c>
      <c r="H1787" s="25" t="str">
        <f t="shared" si="33"/>
        <v/>
      </c>
    </row>
    <row r="1788" spans="5:8">
      <c r="E1788" s="25" t="str">
        <f>IFERROR(VLOOKUP($B1788,テーブル12[],2,FALSE),"")</f>
        <v/>
      </c>
      <c r="F1788" s="25" t="str">
        <f>IFERROR(VLOOKUP($B1788,テーブル12[],3,FALSE),"")</f>
        <v/>
      </c>
      <c r="G1788" s="31" t="str">
        <f>IFERROR(VLOOKUP($B1788,テーブル12[],4,FALSE),"")</f>
        <v/>
      </c>
      <c r="H1788" s="25" t="str">
        <f t="shared" si="33"/>
        <v/>
      </c>
    </row>
    <row r="1789" spans="5:8">
      <c r="E1789" s="25" t="str">
        <f>IFERROR(VLOOKUP($B1789,テーブル12[],2,FALSE),"")</f>
        <v/>
      </c>
      <c r="F1789" s="25" t="str">
        <f>IFERROR(VLOOKUP($B1789,テーブル12[],3,FALSE),"")</f>
        <v/>
      </c>
      <c r="G1789" s="31" t="str">
        <f>IFERROR(VLOOKUP($B1789,テーブル12[],4,FALSE),"")</f>
        <v/>
      </c>
      <c r="H1789" s="25" t="str">
        <f t="shared" si="33"/>
        <v/>
      </c>
    </row>
    <row r="1790" spans="5:8">
      <c r="E1790" s="25" t="str">
        <f>IFERROR(VLOOKUP($B1790,テーブル12[],2,FALSE),"")</f>
        <v/>
      </c>
      <c r="F1790" s="25" t="str">
        <f>IFERROR(VLOOKUP($B1790,テーブル12[],3,FALSE),"")</f>
        <v/>
      </c>
      <c r="G1790" s="31" t="str">
        <f>IFERROR(VLOOKUP($B1790,テーブル12[],4,FALSE),"")</f>
        <v/>
      </c>
      <c r="H1790" s="25" t="str">
        <f t="shared" si="33"/>
        <v/>
      </c>
    </row>
    <row r="1791" spans="5:8">
      <c r="E1791" s="25" t="str">
        <f>IFERROR(VLOOKUP($B1791,テーブル12[],2,FALSE),"")</f>
        <v/>
      </c>
      <c r="F1791" s="25" t="str">
        <f>IFERROR(VLOOKUP($B1791,テーブル12[],3,FALSE),"")</f>
        <v/>
      </c>
      <c r="G1791" s="31" t="str">
        <f>IFERROR(VLOOKUP($B1791,テーブル12[],4,FALSE),"")</f>
        <v/>
      </c>
      <c r="H1791" s="25" t="str">
        <f t="shared" si="33"/>
        <v/>
      </c>
    </row>
    <row r="1792" spans="5:8">
      <c r="E1792" s="25" t="str">
        <f>IFERROR(VLOOKUP($B1792,テーブル12[],2,FALSE),"")</f>
        <v/>
      </c>
      <c r="F1792" s="25" t="str">
        <f>IFERROR(VLOOKUP($B1792,テーブル12[],3,FALSE),"")</f>
        <v/>
      </c>
      <c r="G1792" s="31" t="str">
        <f>IFERROR(VLOOKUP($B1792,テーブル12[],4,FALSE),"")</f>
        <v/>
      </c>
      <c r="H1792" s="25" t="str">
        <f t="shared" si="33"/>
        <v/>
      </c>
    </row>
    <row r="1793" spans="5:8">
      <c r="E1793" s="25" t="str">
        <f>IFERROR(VLOOKUP($B1793,テーブル12[],2,FALSE),"")</f>
        <v/>
      </c>
      <c r="F1793" s="25" t="str">
        <f>IFERROR(VLOOKUP($B1793,テーブル12[],3,FALSE),"")</f>
        <v/>
      </c>
      <c r="G1793" s="31" t="str">
        <f>IFERROR(VLOOKUP($B1793,テーブル12[],4,FALSE),"")</f>
        <v/>
      </c>
      <c r="H1793" s="25" t="str">
        <f t="shared" si="33"/>
        <v/>
      </c>
    </row>
    <row r="1794" spans="5:8">
      <c r="E1794" s="25" t="str">
        <f>IFERROR(VLOOKUP($B1794,テーブル12[],2,FALSE),"")</f>
        <v/>
      </c>
      <c r="F1794" s="25" t="str">
        <f>IFERROR(VLOOKUP($B1794,テーブル12[],3,FALSE),"")</f>
        <v/>
      </c>
      <c r="G1794" s="31" t="str">
        <f>IFERROR(VLOOKUP($B1794,テーブル12[],4,FALSE),"")</f>
        <v/>
      </c>
      <c r="H1794" s="25" t="str">
        <f t="shared" ref="H1794:H1857" si="34">IF(C1794=0,"",C1794)</f>
        <v/>
      </c>
    </row>
    <row r="1795" spans="5:8">
      <c r="E1795" s="25" t="str">
        <f>IFERROR(VLOOKUP($B1795,テーブル12[],2,FALSE),"")</f>
        <v/>
      </c>
      <c r="F1795" s="25" t="str">
        <f>IFERROR(VLOOKUP($B1795,テーブル12[],3,FALSE),"")</f>
        <v/>
      </c>
      <c r="G1795" s="31" t="str">
        <f>IFERROR(VLOOKUP($B1795,テーブル12[],4,FALSE),"")</f>
        <v/>
      </c>
      <c r="H1795" s="25" t="str">
        <f t="shared" si="34"/>
        <v/>
      </c>
    </row>
    <row r="1796" spans="5:8">
      <c r="E1796" s="25" t="str">
        <f>IFERROR(VLOOKUP($B1796,テーブル12[],2,FALSE),"")</f>
        <v/>
      </c>
      <c r="F1796" s="25" t="str">
        <f>IFERROR(VLOOKUP($B1796,テーブル12[],3,FALSE),"")</f>
        <v/>
      </c>
      <c r="G1796" s="31" t="str">
        <f>IFERROR(VLOOKUP($B1796,テーブル12[],4,FALSE),"")</f>
        <v/>
      </c>
      <c r="H1796" s="25" t="str">
        <f t="shared" si="34"/>
        <v/>
      </c>
    </row>
    <row r="1797" spans="5:8">
      <c r="E1797" s="25" t="str">
        <f>IFERROR(VLOOKUP($B1797,テーブル12[],2,FALSE),"")</f>
        <v/>
      </c>
      <c r="F1797" s="25" t="str">
        <f>IFERROR(VLOOKUP($B1797,テーブル12[],3,FALSE),"")</f>
        <v/>
      </c>
      <c r="G1797" s="31" t="str">
        <f>IFERROR(VLOOKUP($B1797,テーブル12[],4,FALSE),"")</f>
        <v/>
      </c>
      <c r="H1797" s="25" t="str">
        <f t="shared" si="34"/>
        <v/>
      </c>
    </row>
    <row r="1798" spans="5:8">
      <c r="E1798" s="25" t="str">
        <f>IFERROR(VLOOKUP($B1798,テーブル12[],2,FALSE),"")</f>
        <v/>
      </c>
      <c r="F1798" s="25" t="str">
        <f>IFERROR(VLOOKUP($B1798,テーブル12[],3,FALSE),"")</f>
        <v/>
      </c>
      <c r="G1798" s="31" t="str">
        <f>IFERROR(VLOOKUP($B1798,テーブル12[],4,FALSE),"")</f>
        <v/>
      </c>
      <c r="H1798" s="25" t="str">
        <f t="shared" si="34"/>
        <v/>
      </c>
    </row>
    <row r="1799" spans="5:8">
      <c r="E1799" s="25" t="str">
        <f>IFERROR(VLOOKUP($B1799,テーブル12[],2,FALSE),"")</f>
        <v/>
      </c>
      <c r="F1799" s="25" t="str">
        <f>IFERROR(VLOOKUP($B1799,テーブル12[],3,FALSE),"")</f>
        <v/>
      </c>
      <c r="G1799" s="31" t="str">
        <f>IFERROR(VLOOKUP($B1799,テーブル12[],4,FALSE),"")</f>
        <v/>
      </c>
      <c r="H1799" s="25" t="str">
        <f t="shared" si="34"/>
        <v/>
      </c>
    </row>
    <row r="1800" spans="5:8">
      <c r="E1800" s="25" t="str">
        <f>IFERROR(VLOOKUP($B1800,テーブル12[],2,FALSE),"")</f>
        <v/>
      </c>
      <c r="F1800" s="25" t="str">
        <f>IFERROR(VLOOKUP($B1800,テーブル12[],3,FALSE),"")</f>
        <v/>
      </c>
      <c r="G1800" s="31" t="str">
        <f>IFERROR(VLOOKUP($B1800,テーブル12[],4,FALSE),"")</f>
        <v/>
      </c>
      <c r="H1800" s="25" t="str">
        <f t="shared" si="34"/>
        <v/>
      </c>
    </row>
    <row r="1801" spans="5:8">
      <c r="E1801" s="25" t="str">
        <f>IFERROR(VLOOKUP($B1801,テーブル12[],2,FALSE),"")</f>
        <v/>
      </c>
      <c r="F1801" s="25" t="str">
        <f>IFERROR(VLOOKUP($B1801,テーブル12[],3,FALSE),"")</f>
        <v/>
      </c>
      <c r="G1801" s="31" t="str">
        <f>IFERROR(VLOOKUP($B1801,テーブル12[],4,FALSE),"")</f>
        <v/>
      </c>
      <c r="H1801" s="25" t="str">
        <f t="shared" si="34"/>
        <v/>
      </c>
    </row>
    <row r="1802" spans="5:8">
      <c r="E1802" s="25" t="str">
        <f>IFERROR(VLOOKUP($B1802,テーブル12[],2,FALSE),"")</f>
        <v/>
      </c>
      <c r="F1802" s="25" t="str">
        <f>IFERROR(VLOOKUP($B1802,テーブル12[],3,FALSE),"")</f>
        <v/>
      </c>
      <c r="G1802" s="31" t="str">
        <f>IFERROR(VLOOKUP($B1802,テーブル12[],4,FALSE),"")</f>
        <v/>
      </c>
      <c r="H1802" s="25" t="str">
        <f t="shared" si="34"/>
        <v/>
      </c>
    </row>
    <row r="1803" spans="5:8">
      <c r="E1803" s="25" t="str">
        <f>IFERROR(VLOOKUP($B1803,テーブル12[],2,FALSE),"")</f>
        <v/>
      </c>
      <c r="F1803" s="25" t="str">
        <f>IFERROR(VLOOKUP($B1803,テーブル12[],3,FALSE),"")</f>
        <v/>
      </c>
      <c r="G1803" s="31" t="str">
        <f>IFERROR(VLOOKUP($B1803,テーブル12[],4,FALSE),"")</f>
        <v/>
      </c>
      <c r="H1803" s="25" t="str">
        <f t="shared" si="34"/>
        <v/>
      </c>
    </row>
    <row r="1804" spans="5:8">
      <c r="E1804" s="25" t="str">
        <f>IFERROR(VLOOKUP($B1804,テーブル12[],2,FALSE),"")</f>
        <v/>
      </c>
      <c r="F1804" s="25" t="str">
        <f>IFERROR(VLOOKUP($B1804,テーブル12[],3,FALSE),"")</f>
        <v/>
      </c>
      <c r="G1804" s="31" t="str">
        <f>IFERROR(VLOOKUP($B1804,テーブル12[],4,FALSE),"")</f>
        <v/>
      </c>
      <c r="H1804" s="25" t="str">
        <f t="shared" si="34"/>
        <v/>
      </c>
    </row>
    <row r="1805" spans="5:8">
      <c r="E1805" s="25" t="str">
        <f>IFERROR(VLOOKUP($B1805,テーブル12[],2,FALSE),"")</f>
        <v/>
      </c>
      <c r="F1805" s="25" t="str">
        <f>IFERROR(VLOOKUP($B1805,テーブル12[],3,FALSE),"")</f>
        <v/>
      </c>
      <c r="G1805" s="31" t="str">
        <f>IFERROR(VLOOKUP($B1805,テーブル12[],4,FALSE),"")</f>
        <v/>
      </c>
      <c r="H1805" s="25" t="str">
        <f t="shared" si="34"/>
        <v/>
      </c>
    </row>
    <row r="1806" spans="5:8">
      <c r="E1806" s="25" t="str">
        <f>IFERROR(VLOOKUP($B1806,テーブル12[],2,FALSE),"")</f>
        <v/>
      </c>
      <c r="F1806" s="25" t="str">
        <f>IFERROR(VLOOKUP($B1806,テーブル12[],3,FALSE),"")</f>
        <v/>
      </c>
      <c r="G1806" s="31" t="str">
        <f>IFERROR(VLOOKUP($B1806,テーブル12[],4,FALSE),"")</f>
        <v/>
      </c>
      <c r="H1806" s="25" t="str">
        <f t="shared" si="34"/>
        <v/>
      </c>
    </row>
    <row r="1807" spans="5:8">
      <c r="E1807" s="25" t="str">
        <f>IFERROR(VLOOKUP($B1807,テーブル12[],2,FALSE),"")</f>
        <v/>
      </c>
      <c r="F1807" s="25" t="str">
        <f>IFERROR(VLOOKUP($B1807,テーブル12[],3,FALSE),"")</f>
        <v/>
      </c>
      <c r="G1807" s="31" t="str">
        <f>IFERROR(VLOOKUP($B1807,テーブル12[],4,FALSE),"")</f>
        <v/>
      </c>
      <c r="H1807" s="25" t="str">
        <f t="shared" si="34"/>
        <v/>
      </c>
    </row>
    <row r="1808" spans="5:8">
      <c r="E1808" s="25" t="str">
        <f>IFERROR(VLOOKUP($B1808,テーブル12[],2,FALSE),"")</f>
        <v/>
      </c>
      <c r="F1808" s="25" t="str">
        <f>IFERROR(VLOOKUP($B1808,テーブル12[],3,FALSE),"")</f>
        <v/>
      </c>
      <c r="G1808" s="31" t="str">
        <f>IFERROR(VLOOKUP($B1808,テーブル12[],4,FALSE),"")</f>
        <v/>
      </c>
      <c r="H1808" s="25" t="str">
        <f t="shared" si="34"/>
        <v/>
      </c>
    </row>
    <row r="1809" spans="5:8">
      <c r="E1809" s="25" t="str">
        <f>IFERROR(VLOOKUP($B1809,テーブル12[],2,FALSE),"")</f>
        <v/>
      </c>
      <c r="F1809" s="25" t="str">
        <f>IFERROR(VLOOKUP($B1809,テーブル12[],3,FALSE),"")</f>
        <v/>
      </c>
      <c r="G1809" s="31" t="str">
        <f>IFERROR(VLOOKUP($B1809,テーブル12[],4,FALSE),"")</f>
        <v/>
      </c>
      <c r="H1809" s="25" t="str">
        <f t="shared" si="34"/>
        <v/>
      </c>
    </row>
    <row r="1810" spans="5:8">
      <c r="E1810" s="25" t="str">
        <f>IFERROR(VLOOKUP($B1810,テーブル12[],2,FALSE),"")</f>
        <v/>
      </c>
      <c r="F1810" s="25" t="str">
        <f>IFERROR(VLOOKUP($B1810,テーブル12[],3,FALSE),"")</f>
        <v/>
      </c>
      <c r="G1810" s="31" t="str">
        <f>IFERROR(VLOOKUP($B1810,テーブル12[],4,FALSE),"")</f>
        <v/>
      </c>
      <c r="H1810" s="25" t="str">
        <f t="shared" si="34"/>
        <v/>
      </c>
    </row>
    <row r="1811" spans="5:8">
      <c r="E1811" s="25" t="str">
        <f>IFERROR(VLOOKUP($B1811,テーブル12[],2,FALSE),"")</f>
        <v/>
      </c>
      <c r="F1811" s="25" t="str">
        <f>IFERROR(VLOOKUP($B1811,テーブル12[],3,FALSE),"")</f>
        <v/>
      </c>
      <c r="G1811" s="31" t="str">
        <f>IFERROR(VLOOKUP($B1811,テーブル12[],4,FALSE),"")</f>
        <v/>
      </c>
      <c r="H1811" s="25" t="str">
        <f t="shared" si="34"/>
        <v/>
      </c>
    </row>
    <row r="1812" spans="5:8">
      <c r="E1812" s="25" t="str">
        <f>IFERROR(VLOOKUP($B1812,テーブル12[],2,FALSE),"")</f>
        <v/>
      </c>
      <c r="F1812" s="25" t="str">
        <f>IFERROR(VLOOKUP($B1812,テーブル12[],3,FALSE),"")</f>
        <v/>
      </c>
      <c r="G1812" s="31" t="str">
        <f>IFERROR(VLOOKUP($B1812,テーブル12[],4,FALSE),"")</f>
        <v/>
      </c>
      <c r="H1812" s="25" t="str">
        <f t="shared" si="34"/>
        <v/>
      </c>
    </row>
    <row r="1813" spans="5:8">
      <c r="E1813" s="25" t="str">
        <f>IFERROR(VLOOKUP($B1813,テーブル12[],2,FALSE),"")</f>
        <v/>
      </c>
      <c r="F1813" s="25" t="str">
        <f>IFERROR(VLOOKUP($B1813,テーブル12[],3,FALSE),"")</f>
        <v/>
      </c>
      <c r="G1813" s="31" t="str">
        <f>IFERROR(VLOOKUP($B1813,テーブル12[],4,FALSE),"")</f>
        <v/>
      </c>
      <c r="H1813" s="25" t="str">
        <f t="shared" si="34"/>
        <v/>
      </c>
    </row>
    <row r="1814" spans="5:8">
      <c r="E1814" s="25" t="str">
        <f>IFERROR(VLOOKUP($B1814,テーブル12[],2,FALSE),"")</f>
        <v/>
      </c>
      <c r="F1814" s="25" t="str">
        <f>IFERROR(VLOOKUP($B1814,テーブル12[],3,FALSE),"")</f>
        <v/>
      </c>
      <c r="G1814" s="31" t="str">
        <f>IFERROR(VLOOKUP($B1814,テーブル12[],4,FALSE),"")</f>
        <v/>
      </c>
      <c r="H1814" s="25" t="str">
        <f t="shared" si="34"/>
        <v/>
      </c>
    </row>
    <row r="1815" spans="5:8">
      <c r="E1815" s="25" t="str">
        <f>IFERROR(VLOOKUP($B1815,テーブル12[],2,FALSE),"")</f>
        <v/>
      </c>
      <c r="F1815" s="25" t="str">
        <f>IFERROR(VLOOKUP($B1815,テーブル12[],3,FALSE),"")</f>
        <v/>
      </c>
      <c r="G1815" s="31" t="str">
        <f>IFERROR(VLOOKUP($B1815,テーブル12[],4,FALSE),"")</f>
        <v/>
      </c>
      <c r="H1815" s="25" t="str">
        <f t="shared" si="34"/>
        <v/>
      </c>
    </row>
    <row r="1816" spans="5:8">
      <c r="E1816" s="25" t="str">
        <f>IFERROR(VLOOKUP($B1816,テーブル12[],2,FALSE),"")</f>
        <v/>
      </c>
      <c r="F1816" s="25" t="str">
        <f>IFERROR(VLOOKUP($B1816,テーブル12[],3,FALSE),"")</f>
        <v/>
      </c>
      <c r="G1816" s="31" t="str">
        <f>IFERROR(VLOOKUP($B1816,テーブル12[],4,FALSE),"")</f>
        <v/>
      </c>
      <c r="H1816" s="25" t="str">
        <f t="shared" si="34"/>
        <v/>
      </c>
    </row>
    <row r="1817" spans="5:8">
      <c r="E1817" s="25" t="str">
        <f>IFERROR(VLOOKUP($B1817,テーブル12[],2,FALSE),"")</f>
        <v/>
      </c>
      <c r="F1817" s="25" t="str">
        <f>IFERROR(VLOOKUP($B1817,テーブル12[],3,FALSE),"")</f>
        <v/>
      </c>
      <c r="G1817" s="31" t="str">
        <f>IFERROR(VLOOKUP($B1817,テーブル12[],4,FALSE),"")</f>
        <v/>
      </c>
      <c r="H1817" s="25" t="str">
        <f t="shared" si="34"/>
        <v/>
      </c>
    </row>
    <row r="1818" spans="5:8">
      <c r="E1818" s="25" t="str">
        <f>IFERROR(VLOOKUP($B1818,テーブル12[],2,FALSE),"")</f>
        <v/>
      </c>
      <c r="F1818" s="25" t="str">
        <f>IFERROR(VLOOKUP($B1818,テーブル12[],3,FALSE),"")</f>
        <v/>
      </c>
      <c r="G1818" s="31" t="str">
        <f>IFERROR(VLOOKUP($B1818,テーブル12[],4,FALSE),"")</f>
        <v/>
      </c>
      <c r="H1818" s="25" t="str">
        <f t="shared" si="34"/>
        <v/>
      </c>
    </row>
    <row r="1819" spans="5:8">
      <c r="E1819" s="25" t="str">
        <f>IFERROR(VLOOKUP($B1819,テーブル12[],2,FALSE),"")</f>
        <v/>
      </c>
      <c r="F1819" s="25" t="str">
        <f>IFERROR(VLOOKUP($B1819,テーブル12[],3,FALSE),"")</f>
        <v/>
      </c>
      <c r="G1819" s="31" t="str">
        <f>IFERROR(VLOOKUP($B1819,テーブル12[],4,FALSE),"")</f>
        <v/>
      </c>
      <c r="H1819" s="25" t="str">
        <f t="shared" si="34"/>
        <v/>
      </c>
    </row>
    <row r="1820" spans="5:8">
      <c r="E1820" s="25" t="str">
        <f>IFERROR(VLOOKUP($B1820,テーブル12[],2,FALSE),"")</f>
        <v/>
      </c>
      <c r="F1820" s="25" t="str">
        <f>IFERROR(VLOOKUP($B1820,テーブル12[],3,FALSE),"")</f>
        <v/>
      </c>
      <c r="G1820" s="31" t="str">
        <f>IFERROR(VLOOKUP($B1820,テーブル12[],4,FALSE),"")</f>
        <v/>
      </c>
      <c r="H1820" s="25" t="str">
        <f t="shared" si="34"/>
        <v/>
      </c>
    </row>
    <row r="1821" spans="5:8">
      <c r="E1821" s="25" t="str">
        <f>IFERROR(VLOOKUP($B1821,テーブル12[],2,FALSE),"")</f>
        <v/>
      </c>
      <c r="F1821" s="25" t="str">
        <f>IFERROR(VLOOKUP($B1821,テーブル12[],3,FALSE),"")</f>
        <v/>
      </c>
      <c r="G1821" s="31" t="str">
        <f>IFERROR(VLOOKUP($B1821,テーブル12[],4,FALSE),"")</f>
        <v/>
      </c>
      <c r="H1821" s="25" t="str">
        <f t="shared" si="34"/>
        <v/>
      </c>
    </row>
    <row r="1822" spans="5:8">
      <c r="E1822" s="25" t="str">
        <f>IFERROR(VLOOKUP($B1822,テーブル12[],2,FALSE),"")</f>
        <v/>
      </c>
      <c r="F1822" s="25" t="str">
        <f>IFERROR(VLOOKUP($B1822,テーブル12[],3,FALSE),"")</f>
        <v/>
      </c>
      <c r="G1822" s="31" t="str">
        <f>IFERROR(VLOOKUP($B1822,テーブル12[],4,FALSE),"")</f>
        <v/>
      </c>
      <c r="H1822" s="25" t="str">
        <f t="shared" si="34"/>
        <v/>
      </c>
    </row>
    <row r="1823" spans="5:8">
      <c r="E1823" s="25" t="str">
        <f>IFERROR(VLOOKUP($B1823,テーブル12[],2,FALSE),"")</f>
        <v/>
      </c>
      <c r="F1823" s="25" t="str">
        <f>IFERROR(VLOOKUP($B1823,テーブル12[],3,FALSE),"")</f>
        <v/>
      </c>
      <c r="G1823" s="31" t="str">
        <f>IFERROR(VLOOKUP($B1823,テーブル12[],4,FALSE),"")</f>
        <v/>
      </c>
      <c r="H1823" s="25" t="str">
        <f t="shared" si="34"/>
        <v/>
      </c>
    </row>
    <row r="1824" spans="5:8">
      <c r="E1824" s="25" t="str">
        <f>IFERROR(VLOOKUP($B1824,テーブル12[],2,FALSE),"")</f>
        <v/>
      </c>
      <c r="F1824" s="25" t="str">
        <f>IFERROR(VLOOKUP($B1824,テーブル12[],3,FALSE),"")</f>
        <v/>
      </c>
      <c r="G1824" s="31" t="str">
        <f>IFERROR(VLOOKUP($B1824,テーブル12[],4,FALSE),"")</f>
        <v/>
      </c>
      <c r="H1824" s="25" t="str">
        <f t="shared" si="34"/>
        <v/>
      </c>
    </row>
    <row r="1825" spans="5:8">
      <c r="E1825" s="25" t="str">
        <f>IFERROR(VLOOKUP($B1825,テーブル12[],2,FALSE),"")</f>
        <v/>
      </c>
      <c r="F1825" s="25" t="str">
        <f>IFERROR(VLOOKUP($B1825,テーブル12[],3,FALSE),"")</f>
        <v/>
      </c>
      <c r="G1825" s="31" t="str">
        <f>IFERROR(VLOOKUP($B1825,テーブル12[],4,FALSE),"")</f>
        <v/>
      </c>
      <c r="H1825" s="25" t="str">
        <f t="shared" si="34"/>
        <v/>
      </c>
    </row>
    <row r="1826" spans="5:8">
      <c r="E1826" s="25" t="str">
        <f>IFERROR(VLOOKUP($B1826,テーブル12[],2,FALSE),"")</f>
        <v/>
      </c>
      <c r="F1826" s="25" t="str">
        <f>IFERROR(VLOOKUP($B1826,テーブル12[],3,FALSE),"")</f>
        <v/>
      </c>
      <c r="G1826" s="31" t="str">
        <f>IFERROR(VLOOKUP($B1826,テーブル12[],4,FALSE),"")</f>
        <v/>
      </c>
      <c r="H1826" s="25" t="str">
        <f t="shared" si="34"/>
        <v/>
      </c>
    </row>
    <row r="1827" spans="5:8">
      <c r="E1827" s="25" t="str">
        <f>IFERROR(VLOOKUP($B1827,テーブル12[],2,FALSE),"")</f>
        <v/>
      </c>
      <c r="F1827" s="25" t="str">
        <f>IFERROR(VLOOKUP($B1827,テーブル12[],3,FALSE),"")</f>
        <v/>
      </c>
      <c r="G1827" s="31" t="str">
        <f>IFERROR(VLOOKUP($B1827,テーブル12[],4,FALSE),"")</f>
        <v/>
      </c>
      <c r="H1827" s="25" t="str">
        <f t="shared" si="34"/>
        <v/>
      </c>
    </row>
    <row r="1828" spans="5:8">
      <c r="E1828" s="25" t="str">
        <f>IFERROR(VLOOKUP($B1828,テーブル12[],2,FALSE),"")</f>
        <v/>
      </c>
      <c r="F1828" s="25" t="str">
        <f>IFERROR(VLOOKUP($B1828,テーブル12[],3,FALSE),"")</f>
        <v/>
      </c>
      <c r="G1828" s="31" t="str">
        <f>IFERROR(VLOOKUP($B1828,テーブル12[],4,FALSE),"")</f>
        <v/>
      </c>
      <c r="H1828" s="25" t="str">
        <f t="shared" si="34"/>
        <v/>
      </c>
    </row>
    <row r="1829" spans="5:8">
      <c r="E1829" s="25" t="str">
        <f>IFERROR(VLOOKUP($B1829,テーブル12[],2,FALSE),"")</f>
        <v/>
      </c>
      <c r="F1829" s="25" t="str">
        <f>IFERROR(VLOOKUP($B1829,テーブル12[],3,FALSE),"")</f>
        <v/>
      </c>
      <c r="G1829" s="31" t="str">
        <f>IFERROR(VLOOKUP($B1829,テーブル12[],4,FALSE),"")</f>
        <v/>
      </c>
      <c r="H1829" s="25" t="str">
        <f t="shared" si="34"/>
        <v/>
      </c>
    </row>
    <row r="1830" spans="5:8">
      <c r="E1830" s="25" t="str">
        <f>IFERROR(VLOOKUP($B1830,テーブル12[],2,FALSE),"")</f>
        <v/>
      </c>
      <c r="F1830" s="25" t="str">
        <f>IFERROR(VLOOKUP($B1830,テーブル12[],3,FALSE),"")</f>
        <v/>
      </c>
      <c r="G1830" s="31" t="str">
        <f>IFERROR(VLOOKUP($B1830,テーブル12[],4,FALSE),"")</f>
        <v/>
      </c>
      <c r="H1830" s="25" t="str">
        <f t="shared" si="34"/>
        <v/>
      </c>
    </row>
    <row r="1831" spans="5:8">
      <c r="E1831" s="25" t="str">
        <f>IFERROR(VLOOKUP($B1831,テーブル12[],2,FALSE),"")</f>
        <v/>
      </c>
      <c r="F1831" s="25" t="str">
        <f>IFERROR(VLOOKUP($B1831,テーブル12[],3,FALSE),"")</f>
        <v/>
      </c>
      <c r="G1831" s="31" t="str">
        <f>IFERROR(VLOOKUP($B1831,テーブル12[],4,FALSE),"")</f>
        <v/>
      </c>
      <c r="H1831" s="25" t="str">
        <f t="shared" si="34"/>
        <v/>
      </c>
    </row>
    <row r="1832" spans="5:8">
      <c r="E1832" s="25" t="str">
        <f>IFERROR(VLOOKUP($B1832,テーブル12[],2,FALSE),"")</f>
        <v/>
      </c>
      <c r="F1832" s="25" t="str">
        <f>IFERROR(VLOOKUP($B1832,テーブル12[],3,FALSE),"")</f>
        <v/>
      </c>
      <c r="G1832" s="31" t="str">
        <f>IFERROR(VLOOKUP($B1832,テーブル12[],4,FALSE),"")</f>
        <v/>
      </c>
      <c r="H1832" s="25" t="str">
        <f t="shared" si="34"/>
        <v/>
      </c>
    </row>
    <row r="1833" spans="5:8">
      <c r="E1833" s="25" t="str">
        <f>IFERROR(VLOOKUP($B1833,テーブル12[],2,FALSE),"")</f>
        <v/>
      </c>
      <c r="F1833" s="25" t="str">
        <f>IFERROR(VLOOKUP($B1833,テーブル12[],3,FALSE),"")</f>
        <v/>
      </c>
      <c r="G1833" s="31" t="str">
        <f>IFERROR(VLOOKUP($B1833,テーブル12[],4,FALSE),"")</f>
        <v/>
      </c>
      <c r="H1833" s="25" t="str">
        <f t="shared" si="34"/>
        <v/>
      </c>
    </row>
    <row r="1834" spans="5:8">
      <c r="E1834" s="25" t="str">
        <f>IFERROR(VLOOKUP($B1834,テーブル12[],2,FALSE),"")</f>
        <v/>
      </c>
      <c r="F1834" s="25" t="str">
        <f>IFERROR(VLOOKUP($B1834,テーブル12[],3,FALSE),"")</f>
        <v/>
      </c>
      <c r="G1834" s="31" t="str">
        <f>IFERROR(VLOOKUP($B1834,テーブル12[],4,FALSE),"")</f>
        <v/>
      </c>
      <c r="H1834" s="25" t="str">
        <f t="shared" si="34"/>
        <v/>
      </c>
    </row>
    <row r="1835" spans="5:8">
      <c r="E1835" s="25" t="str">
        <f>IFERROR(VLOOKUP($B1835,テーブル12[],2,FALSE),"")</f>
        <v/>
      </c>
      <c r="F1835" s="25" t="str">
        <f>IFERROR(VLOOKUP($B1835,テーブル12[],3,FALSE),"")</f>
        <v/>
      </c>
      <c r="G1835" s="31" t="str">
        <f>IFERROR(VLOOKUP($B1835,テーブル12[],4,FALSE),"")</f>
        <v/>
      </c>
      <c r="H1835" s="25" t="str">
        <f t="shared" si="34"/>
        <v/>
      </c>
    </row>
    <row r="1836" spans="5:8">
      <c r="E1836" s="25" t="str">
        <f>IFERROR(VLOOKUP($B1836,テーブル12[],2,FALSE),"")</f>
        <v/>
      </c>
      <c r="F1836" s="25" t="str">
        <f>IFERROR(VLOOKUP($B1836,テーブル12[],3,FALSE),"")</f>
        <v/>
      </c>
      <c r="G1836" s="31" t="str">
        <f>IFERROR(VLOOKUP($B1836,テーブル12[],4,FALSE),"")</f>
        <v/>
      </c>
      <c r="H1836" s="25" t="str">
        <f t="shared" si="34"/>
        <v/>
      </c>
    </row>
    <row r="1837" spans="5:8">
      <c r="E1837" s="25" t="str">
        <f>IFERROR(VLOOKUP($B1837,テーブル12[],2,FALSE),"")</f>
        <v/>
      </c>
      <c r="F1837" s="25" t="str">
        <f>IFERROR(VLOOKUP($B1837,テーブル12[],3,FALSE),"")</f>
        <v/>
      </c>
      <c r="G1837" s="31" t="str">
        <f>IFERROR(VLOOKUP($B1837,テーブル12[],4,FALSE),"")</f>
        <v/>
      </c>
      <c r="H1837" s="25" t="str">
        <f t="shared" si="34"/>
        <v/>
      </c>
    </row>
    <row r="1838" spans="5:8">
      <c r="E1838" s="25" t="str">
        <f>IFERROR(VLOOKUP($B1838,テーブル12[],2,FALSE),"")</f>
        <v/>
      </c>
      <c r="F1838" s="25" t="str">
        <f>IFERROR(VLOOKUP($B1838,テーブル12[],3,FALSE),"")</f>
        <v/>
      </c>
      <c r="G1838" s="31" t="str">
        <f>IFERROR(VLOOKUP($B1838,テーブル12[],4,FALSE),"")</f>
        <v/>
      </c>
      <c r="H1838" s="25" t="str">
        <f t="shared" si="34"/>
        <v/>
      </c>
    </row>
    <row r="1839" spans="5:8">
      <c r="E1839" s="25" t="str">
        <f>IFERROR(VLOOKUP($B1839,テーブル12[],2,FALSE),"")</f>
        <v/>
      </c>
      <c r="F1839" s="25" t="str">
        <f>IFERROR(VLOOKUP($B1839,テーブル12[],3,FALSE),"")</f>
        <v/>
      </c>
      <c r="G1839" s="31" t="str">
        <f>IFERROR(VLOOKUP($B1839,テーブル12[],4,FALSE),"")</f>
        <v/>
      </c>
      <c r="H1839" s="25" t="str">
        <f t="shared" si="34"/>
        <v/>
      </c>
    </row>
    <row r="1840" spans="5:8">
      <c r="E1840" s="25" t="str">
        <f>IFERROR(VLOOKUP($B1840,テーブル12[],2,FALSE),"")</f>
        <v/>
      </c>
      <c r="F1840" s="25" t="str">
        <f>IFERROR(VLOOKUP($B1840,テーブル12[],3,FALSE),"")</f>
        <v/>
      </c>
      <c r="G1840" s="31" t="str">
        <f>IFERROR(VLOOKUP($B1840,テーブル12[],4,FALSE),"")</f>
        <v/>
      </c>
      <c r="H1840" s="25" t="str">
        <f t="shared" si="34"/>
        <v/>
      </c>
    </row>
    <row r="1841" spans="5:8">
      <c r="E1841" s="25" t="str">
        <f>IFERROR(VLOOKUP($B1841,テーブル12[],2,FALSE),"")</f>
        <v/>
      </c>
      <c r="F1841" s="25" t="str">
        <f>IFERROR(VLOOKUP($B1841,テーブル12[],3,FALSE),"")</f>
        <v/>
      </c>
      <c r="G1841" s="31" t="str">
        <f>IFERROR(VLOOKUP($B1841,テーブル12[],4,FALSE),"")</f>
        <v/>
      </c>
      <c r="H1841" s="25" t="str">
        <f t="shared" si="34"/>
        <v/>
      </c>
    </row>
    <row r="1842" spans="5:8">
      <c r="E1842" s="25" t="str">
        <f>IFERROR(VLOOKUP($B1842,テーブル12[],2,FALSE),"")</f>
        <v/>
      </c>
      <c r="F1842" s="25" t="str">
        <f>IFERROR(VLOOKUP($B1842,テーブル12[],3,FALSE),"")</f>
        <v/>
      </c>
      <c r="G1842" s="31" t="str">
        <f>IFERROR(VLOOKUP($B1842,テーブル12[],4,FALSE),"")</f>
        <v/>
      </c>
      <c r="H1842" s="25" t="str">
        <f t="shared" si="34"/>
        <v/>
      </c>
    </row>
    <row r="1843" spans="5:8">
      <c r="E1843" s="25" t="str">
        <f>IFERROR(VLOOKUP($B1843,テーブル12[],2,FALSE),"")</f>
        <v/>
      </c>
      <c r="F1843" s="25" t="str">
        <f>IFERROR(VLOOKUP($B1843,テーブル12[],3,FALSE),"")</f>
        <v/>
      </c>
      <c r="G1843" s="31" t="str">
        <f>IFERROR(VLOOKUP($B1843,テーブル12[],4,FALSE),"")</f>
        <v/>
      </c>
      <c r="H1843" s="25" t="str">
        <f t="shared" si="34"/>
        <v/>
      </c>
    </row>
    <row r="1844" spans="5:8">
      <c r="E1844" s="25" t="str">
        <f>IFERROR(VLOOKUP($B1844,テーブル12[],2,FALSE),"")</f>
        <v/>
      </c>
      <c r="F1844" s="25" t="str">
        <f>IFERROR(VLOOKUP($B1844,テーブル12[],3,FALSE),"")</f>
        <v/>
      </c>
      <c r="G1844" s="31" t="str">
        <f>IFERROR(VLOOKUP($B1844,テーブル12[],4,FALSE),"")</f>
        <v/>
      </c>
      <c r="H1844" s="25" t="str">
        <f t="shared" si="34"/>
        <v/>
      </c>
    </row>
    <row r="1845" spans="5:8">
      <c r="E1845" s="25" t="str">
        <f>IFERROR(VLOOKUP($B1845,テーブル12[],2,FALSE),"")</f>
        <v/>
      </c>
      <c r="F1845" s="25" t="str">
        <f>IFERROR(VLOOKUP($B1845,テーブル12[],3,FALSE),"")</f>
        <v/>
      </c>
      <c r="G1845" s="31" t="str">
        <f>IFERROR(VLOOKUP($B1845,テーブル12[],4,FALSE),"")</f>
        <v/>
      </c>
      <c r="H1845" s="25" t="str">
        <f t="shared" si="34"/>
        <v/>
      </c>
    </row>
    <row r="1846" spans="5:8">
      <c r="E1846" s="25" t="str">
        <f>IFERROR(VLOOKUP($B1846,テーブル12[],2,FALSE),"")</f>
        <v/>
      </c>
      <c r="F1846" s="25" t="str">
        <f>IFERROR(VLOOKUP($B1846,テーブル12[],3,FALSE),"")</f>
        <v/>
      </c>
      <c r="G1846" s="31" t="str">
        <f>IFERROR(VLOOKUP($B1846,テーブル12[],4,FALSE),"")</f>
        <v/>
      </c>
      <c r="H1846" s="25" t="str">
        <f t="shared" si="34"/>
        <v/>
      </c>
    </row>
    <row r="1847" spans="5:8">
      <c r="E1847" s="25" t="str">
        <f>IFERROR(VLOOKUP($B1847,テーブル12[],2,FALSE),"")</f>
        <v/>
      </c>
      <c r="F1847" s="25" t="str">
        <f>IFERROR(VLOOKUP($B1847,テーブル12[],3,FALSE),"")</f>
        <v/>
      </c>
      <c r="G1847" s="31" t="str">
        <f>IFERROR(VLOOKUP($B1847,テーブル12[],4,FALSE),"")</f>
        <v/>
      </c>
      <c r="H1847" s="25" t="str">
        <f t="shared" si="34"/>
        <v/>
      </c>
    </row>
    <row r="1848" spans="5:8">
      <c r="E1848" s="25" t="str">
        <f>IFERROR(VLOOKUP($B1848,テーブル12[],2,FALSE),"")</f>
        <v/>
      </c>
      <c r="F1848" s="25" t="str">
        <f>IFERROR(VLOOKUP($B1848,テーブル12[],3,FALSE),"")</f>
        <v/>
      </c>
      <c r="G1848" s="31" t="str">
        <f>IFERROR(VLOOKUP($B1848,テーブル12[],4,FALSE),"")</f>
        <v/>
      </c>
      <c r="H1848" s="25" t="str">
        <f t="shared" si="34"/>
        <v/>
      </c>
    </row>
    <row r="1849" spans="5:8">
      <c r="E1849" s="25" t="str">
        <f>IFERROR(VLOOKUP($B1849,テーブル12[],2,FALSE),"")</f>
        <v/>
      </c>
      <c r="F1849" s="25" t="str">
        <f>IFERROR(VLOOKUP($B1849,テーブル12[],3,FALSE),"")</f>
        <v/>
      </c>
      <c r="G1849" s="31" t="str">
        <f>IFERROR(VLOOKUP($B1849,テーブル12[],4,FALSE),"")</f>
        <v/>
      </c>
      <c r="H1849" s="25" t="str">
        <f t="shared" si="34"/>
        <v/>
      </c>
    </row>
    <row r="1850" spans="5:8">
      <c r="E1850" s="25" t="str">
        <f>IFERROR(VLOOKUP($B1850,テーブル12[],2,FALSE),"")</f>
        <v/>
      </c>
      <c r="F1850" s="25" t="str">
        <f>IFERROR(VLOOKUP($B1850,テーブル12[],3,FALSE),"")</f>
        <v/>
      </c>
      <c r="G1850" s="31" t="str">
        <f>IFERROR(VLOOKUP($B1850,テーブル12[],4,FALSE),"")</f>
        <v/>
      </c>
      <c r="H1850" s="25" t="str">
        <f t="shared" si="34"/>
        <v/>
      </c>
    </row>
    <row r="1851" spans="5:8">
      <c r="E1851" s="25" t="str">
        <f>IFERROR(VLOOKUP($B1851,テーブル12[],2,FALSE),"")</f>
        <v/>
      </c>
      <c r="F1851" s="25" t="str">
        <f>IFERROR(VLOOKUP($B1851,テーブル12[],3,FALSE),"")</f>
        <v/>
      </c>
      <c r="G1851" s="31" t="str">
        <f>IFERROR(VLOOKUP($B1851,テーブル12[],4,FALSE),"")</f>
        <v/>
      </c>
      <c r="H1851" s="25" t="str">
        <f t="shared" si="34"/>
        <v/>
      </c>
    </row>
    <row r="1852" spans="5:8">
      <c r="E1852" s="25" t="str">
        <f>IFERROR(VLOOKUP($B1852,テーブル12[],2,FALSE),"")</f>
        <v/>
      </c>
      <c r="F1852" s="25" t="str">
        <f>IFERROR(VLOOKUP($B1852,テーブル12[],3,FALSE),"")</f>
        <v/>
      </c>
      <c r="G1852" s="31" t="str">
        <f>IFERROR(VLOOKUP($B1852,テーブル12[],4,FALSE),"")</f>
        <v/>
      </c>
      <c r="H1852" s="25" t="str">
        <f t="shared" si="34"/>
        <v/>
      </c>
    </row>
    <row r="1853" spans="5:8">
      <c r="E1853" s="25" t="str">
        <f>IFERROR(VLOOKUP($B1853,テーブル12[],2,FALSE),"")</f>
        <v/>
      </c>
      <c r="F1853" s="25" t="str">
        <f>IFERROR(VLOOKUP($B1853,テーブル12[],3,FALSE),"")</f>
        <v/>
      </c>
      <c r="G1853" s="31" t="str">
        <f>IFERROR(VLOOKUP($B1853,テーブル12[],4,FALSE),"")</f>
        <v/>
      </c>
      <c r="H1853" s="25" t="str">
        <f t="shared" si="34"/>
        <v/>
      </c>
    </row>
    <row r="1854" spans="5:8">
      <c r="E1854" s="25" t="str">
        <f>IFERROR(VLOOKUP($B1854,テーブル12[],2,FALSE),"")</f>
        <v/>
      </c>
      <c r="F1854" s="25" t="str">
        <f>IFERROR(VLOOKUP($B1854,テーブル12[],3,FALSE),"")</f>
        <v/>
      </c>
      <c r="G1854" s="31" t="str">
        <f>IFERROR(VLOOKUP($B1854,テーブル12[],4,FALSE),"")</f>
        <v/>
      </c>
      <c r="H1854" s="25" t="str">
        <f t="shared" si="34"/>
        <v/>
      </c>
    </row>
    <row r="1855" spans="5:8">
      <c r="E1855" s="25" t="str">
        <f>IFERROR(VLOOKUP($B1855,テーブル12[],2,FALSE),"")</f>
        <v/>
      </c>
      <c r="F1855" s="25" t="str">
        <f>IFERROR(VLOOKUP($B1855,テーブル12[],3,FALSE),"")</f>
        <v/>
      </c>
      <c r="G1855" s="31" t="str">
        <f>IFERROR(VLOOKUP($B1855,テーブル12[],4,FALSE),"")</f>
        <v/>
      </c>
      <c r="H1855" s="25" t="str">
        <f t="shared" si="34"/>
        <v/>
      </c>
    </row>
    <row r="1856" spans="5:8">
      <c r="E1856" s="25" t="str">
        <f>IFERROR(VLOOKUP($B1856,テーブル12[],2,FALSE),"")</f>
        <v/>
      </c>
      <c r="F1856" s="25" t="str">
        <f>IFERROR(VLOOKUP($B1856,テーブル12[],3,FALSE),"")</f>
        <v/>
      </c>
      <c r="G1856" s="31" t="str">
        <f>IFERROR(VLOOKUP($B1856,テーブル12[],4,FALSE),"")</f>
        <v/>
      </c>
      <c r="H1856" s="25" t="str">
        <f t="shared" si="34"/>
        <v/>
      </c>
    </row>
    <row r="1857" spans="5:8">
      <c r="E1857" s="25" t="str">
        <f>IFERROR(VLOOKUP($B1857,テーブル12[],2,FALSE),"")</f>
        <v/>
      </c>
      <c r="F1857" s="25" t="str">
        <f>IFERROR(VLOOKUP($B1857,テーブル12[],3,FALSE),"")</f>
        <v/>
      </c>
      <c r="G1857" s="31" t="str">
        <f>IFERROR(VLOOKUP($B1857,テーブル12[],4,FALSE),"")</f>
        <v/>
      </c>
      <c r="H1857" s="25" t="str">
        <f t="shared" si="34"/>
        <v/>
      </c>
    </row>
    <row r="1858" spans="5:8">
      <c r="E1858" s="25" t="str">
        <f>IFERROR(VLOOKUP($B1858,テーブル12[],2,FALSE),"")</f>
        <v/>
      </c>
      <c r="F1858" s="25" t="str">
        <f>IFERROR(VLOOKUP($B1858,テーブル12[],3,FALSE),"")</f>
        <v/>
      </c>
      <c r="G1858" s="31" t="str">
        <f>IFERROR(VLOOKUP($B1858,テーブル12[],4,FALSE),"")</f>
        <v/>
      </c>
      <c r="H1858" s="25" t="str">
        <f t="shared" ref="H1858:H1921" si="35">IF(C1858=0,"",C1858)</f>
        <v/>
      </c>
    </row>
    <row r="1859" spans="5:8">
      <c r="E1859" s="25" t="str">
        <f>IFERROR(VLOOKUP($B1859,テーブル12[],2,FALSE),"")</f>
        <v/>
      </c>
      <c r="F1859" s="25" t="str">
        <f>IFERROR(VLOOKUP($B1859,テーブル12[],3,FALSE),"")</f>
        <v/>
      </c>
      <c r="G1859" s="31" t="str">
        <f>IFERROR(VLOOKUP($B1859,テーブル12[],4,FALSE),"")</f>
        <v/>
      </c>
      <c r="H1859" s="25" t="str">
        <f t="shared" si="35"/>
        <v/>
      </c>
    </row>
    <row r="1860" spans="5:8">
      <c r="E1860" s="25" t="str">
        <f>IFERROR(VLOOKUP($B1860,テーブル12[],2,FALSE),"")</f>
        <v/>
      </c>
      <c r="F1860" s="25" t="str">
        <f>IFERROR(VLOOKUP($B1860,テーブル12[],3,FALSE),"")</f>
        <v/>
      </c>
      <c r="G1860" s="31" t="str">
        <f>IFERROR(VLOOKUP($B1860,テーブル12[],4,FALSE),"")</f>
        <v/>
      </c>
      <c r="H1860" s="25" t="str">
        <f t="shared" si="35"/>
        <v/>
      </c>
    </row>
    <row r="1861" spans="5:8">
      <c r="E1861" s="25" t="str">
        <f>IFERROR(VLOOKUP($B1861,テーブル12[],2,FALSE),"")</f>
        <v/>
      </c>
      <c r="F1861" s="25" t="str">
        <f>IFERROR(VLOOKUP($B1861,テーブル12[],3,FALSE),"")</f>
        <v/>
      </c>
      <c r="G1861" s="31" t="str">
        <f>IFERROR(VLOOKUP($B1861,テーブル12[],4,FALSE),"")</f>
        <v/>
      </c>
      <c r="H1861" s="25" t="str">
        <f t="shared" si="35"/>
        <v/>
      </c>
    </row>
    <row r="1862" spans="5:8">
      <c r="E1862" s="25" t="str">
        <f>IFERROR(VLOOKUP($B1862,テーブル12[],2,FALSE),"")</f>
        <v/>
      </c>
      <c r="F1862" s="25" t="str">
        <f>IFERROR(VLOOKUP($B1862,テーブル12[],3,FALSE),"")</f>
        <v/>
      </c>
      <c r="G1862" s="31" t="str">
        <f>IFERROR(VLOOKUP($B1862,テーブル12[],4,FALSE),"")</f>
        <v/>
      </c>
      <c r="H1862" s="25" t="str">
        <f t="shared" si="35"/>
        <v/>
      </c>
    </row>
    <row r="1863" spans="5:8">
      <c r="E1863" s="25" t="str">
        <f>IFERROR(VLOOKUP($B1863,テーブル12[],2,FALSE),"")</f>
        <v/>
      </c>
      <c r="F1863" s="25" t="str">
        <f>IFERROR(VLOOKUP($B1863,テーブル12[],3,FALSE),"")</f>
        <v/>
      </c>
      <c r="G1863" s="31" t="str">
        <f>IFERROR(VLOOKUP($B1863,テーブル12[],4,FALSE),"")</f>
        <v/>
      </c>
      <c r="H1863" s="25" t="str">
        <f t="shared" si="35"/>
        <v/>
      </c>
    </row>
    <row r="1864" spans="5:8">
      <c r="E1864" s="25" t="str">
        <f>IFERROR(VLOOKUP($B1864,テーブル12[],2,FALSE),"")</f>
        <v/>
      </c>
      <c r="F1864" s="25" t="str">
        <f>IFERROR(VLOOKUP($B1864,テーブル12[],3,FALSE),"")</f>
        <v/>
      </c>
      <c r="G1864" s="31" t="str">
        <f>IFERROR(VLOOKUP($B1864,テーブル12[],4,FALSE),"")</f>
        <v/>
      </c>
      <c r="H1864" s="25" t="str">
        <f t="shared" si="35"/>
        <v/>
      </c>
    </row>
    <row r="1865" spans="5:8">
      <c r="E1865" s="25" t="str">
        <f>IFERROR(VLOOKUP($B1865,テーブル12[],2,FALSE),"")</f>
        <v/>
      </c>
      <c r="F1865" s="25" t="str">
        <f>IFERROR(VLOOKUP($B1865,テーブル12[],3,FALSE),"")</f>
        <v/>
      </c>
      <c r="G1865" s="31" t="str">
        <f>IFERROR(VLOOKUP($B1865,テーブル12[],4,FALSE),"")</f>
        <v/>
      </c>
      <c r="H1865" s="25" t="str">
        <f t="shared" si="35"/>
        <v/>
      </c>
    </row>
    <row r="1866" spans="5:8">
      <c r="E1866" s="25" t="str">
        <f>IFERROR(VLOOKUP($B1866,テーブル12[],2,FALSE),"")</f>
        <v/>
      </c>
      <c r="F1866" s="25" t="str">
        <f>IFERROR(VLOOKUP($B1866,テーブル12[],3,FALSE),"")</f>
        <v/>
      </c>
      <c r="G1866" s="31" t="str">
        <f>IFERROR(VLOOKUP($B1866,テーブル12[],4,FALSE),"")</f>
        <v/>
      </c>
      <c r="H1866" s="25" t="str">
        <f t="shared" si="35"/>
        <v/>
      </c>
    </row>
    <row r="1867" spans="5:8">
      <c r="E1867" s="25" t="str">
        <f>IFERROR(VLOOKUP($B1867,テーブル12[],2,FALSE),"")</f>
        <v/>
      </c>
      <c r="F1867" s="25" t="str">
        <f>IFERROR(VLOOKUP($B1867,テーブル12[],3,FALSE),"")</f>
        <v/>
      </c>
      <c r="G1867" s="31" t="str">
        <f>IFERROR(VLOOKUP($B1867,テーブル12[],4,FALSE),"")</f>
        <v/>
      </c>
      <c r="H1867" s="25" t="str">
        <f t="shared" si="35"/>
        <v/>
      </c>
    </row>
    <row r="1868" spans="5:8">
      <c r="E1868" s="25" t="str">
        <f>IFERROR(VLOOKUP($B1868,テーブル12[],2,FALSE),"")</f>
        <v/>
      </c>
      <c r="F1868" s="25" t="str">
        <f>IFERROR(VLOOKUP($B1868,テーブル12[],3,FALSE),"")</f>
        <v/>
      </c>
      <c r="G1868" s="31" t="str">
        <f>IFERROR(VLOOKUP($B1868,テーブル12[],4,FALSE),"")</f>
        <v/>
      </c>
      <c r="H1868" s="25" t="str">
        <f t="shared" si="35"/>
        <v/>
      </c>
    </row>
    <row r="1869" spans="5:8">
      <c r="E1869" s="25" t="str">
        <f>IFERROR(VLOOKUP($B1869,テーブル12[],2,FALSE),"")</f>
        <v/>
      </c>
      <c r="F1869" s="25" t="str">
        <f>IFERROR(VLOOKUP($B1869,テーブル12[],3,FALSE),"")</f>
        <v/>
      </c>
      <c r="G1869" s="31" t="str">
        <f>IFERROR(VLOOKUP($B1869,テーブル12[],4,FALSE),"")</f>
        <v/>
      </c>
      <c r="H1869" s="25" t="str">
        <f t="shared" si="35"/>
        <v/>
      </c>
    </row>
    <row r="1870" spans="5:8">
      <c r="E1870" s="25" t="str">
        <f>IFERROR(VLOOKUP($B1870,テーブル12[],2,FALSE),"")</f>
        <v/>
      </c>
      <c r="F1870" s="25" t="str">
        <f>IFERROR(VLOOKUP($B1870,テーブル12[],3,FALSE),"")</f>
        <v/>
      </c>
      <c r="G1870" s="31" t="str">
        <f>IFERROR(VLOOKUP($B1870,テーブル12[],4,FALSE),"")</f>
        <v/>
      </c>
      <c r="H1870" s="25" t="str">
        <f t="shared" si="35"/>
        <v/>
      </c>
    </row>
    <row r="1871" spans="5:8">
      <c r="E1871" s="25" t="str">
        <f>IFERROR(VLOOKUP($B1871,テーブル12[],2,FALSE),"")</f>
        <v/>
      </c>
      <c r="F1871" s="25" t="str">
        <f>IFERROR(VLOOKUP($B1871,テーブル12[],3,FALSE),"")</f>
        <v/>
      </c>
      <c r="G1871" s="31" t="str">
        <f>IFERROR(VLOOKUP($B1871,テーブル12[],4,FALSE),"")</f>
        <v/>
      </c>
      <c r="H1871" s="25" t="str">
        <f t="shared" si="35"/>
        <v/>
      </c>
    </row>
    <row r="1872" spans="5:8">
      <c r="E1872" s="25" t="str">
        <f>IFERROR(VLOOKUP($B1872,テーブル12[],2,FALSE),"")</f>
        <v/>
      </c>
      <c r="F1872" s="25" t="str">
        <f>IFERROR(VLOOKUP($B1872,テーブル12[],3,FALSE),"")</f>
        <v/>
      </c>
      <c r="G1872" s="31" t="str">
        <f>IFERROR(VLOOKUP($B1872,テーブル12[],4,FALSE),"")</f>
        <v/>
      </c>
      <c r="H1872" s="25" t="str">
        <f t="shared" si="35"/>
        <v/>
      </c>
    </row>
    <row r="1873" spans="5:8">
      <c r="E1873" s="25" t="str">
        <f>IFERROR(VLOOKUP($B1873,テーブル12[],2,FALSE),"")</f>
        <v/>
      </c>
      <c r="F1873" s="25" t="str">
        <f>IFERROR(VLOOKUP($B1873,テーブル12[],3,FALSE),"")</f>
        <v/>
      </c>
      <c r="G1873" s="31" t="str">
        <f>IFERROR(VLOOKUP($B1873,テーブル12[],4,FALSE),"")</f>
        <v/>
      </c>
      <c r="H1873" s="25" t="str">
        <f t="shared" si="35"/>
        <v/>
      </c>
    </row>
    <row r="1874" spans="5:8">
      <c r="E1874" s="25" t="str">
        <f>IFERROR(VLOOKUP($B1874,テーブル12[],2,FALSE),"")</f>
        <v/>
      </c>
      <c r="F1874" s="25" t="str">
        <f>IFERROR(VLOOKUP($B1874,テーブル12[],3,FALSE),"")</f>
        <v/>
      </c>
      <c r="G1874" s="31" t="str">
        <f>IFERROR(VLOOKUP($B1874,テーブル12[],4,FALSE),"")</f>
        <v/>
      </c>
      <c r="H1874" s="25" t="str">
        <f t="shared" si="35"/>
        <v/>
      </c>
    </row>
    <row r="1875" spans="5:8">
      <c r="E1875" s="25" t="str">
        <f>IFERROR(VLOOKUP($B1875,テーブル12[],2,FALSE),"")</f>
        <v/>
      </c>
      <c r="F1875" s="25" t="str">
        <f>IFERROR(VLOOKUP($B1875,テーブル12[],3,FALSE),"")</f>
        <v/>
      </c>
      <c r="G1875" s="31" t="str">
        <f>IFERROR(VLOOKUP($B1875,テーブル12[],4,FALSE),"")</f>
        <v/>
      </c>
      <c r="H1875" s="25" t="str">
        <f t="shared" si="35"/>
        <v/>
      </c>
    </row>
    <row r="1876" spans="5:8">
      <c r="E1876" s="25" t="str">
        <f>IFERROR(VLOOKUP($B1876,テーブル12[],2,FALSE),"")</f>
        <v/>
      </c>
      <c r="F1876" s="25" t="str">
        <f>IFERROR(VLOOKUP($B1876,テーブル12[],3,FALSE),"")</f>
        <v/>
      </c>
      <c r="G1876" s="31" t="str">
        <f>IFERROR(VLOOKUP($B1876,テーブル12[],4,FALSE),"")</f>
        <v/>
      </c>
      <c r="H1876" s="25" t="str">
        <f t="shared" si="35"/>
        <v/>
      </c>
    </row>
    <row r="1877" spans="5:8">
      <c r="E1877" s="25" t="str">
        <f>IFERROR(VLOOKUP($B1877,テーブル12[],2,FALSE),"")</f>
        <v/>
      </c>
      <c r="F1877" s="25" t="str">
        <f>IFERROR(VLOOKUP($B1877,テーブル12[],3,FALSE),"")</f>
        <v/>
      </c>
      <c r="G1877" s="31" t="str">
        <f>IFERROR(VLOOKUP($B1877,テーブル12[],4,FALSE),"")</f>
        <v/>
      </c>
      <c r="H1877" s="25" t="str">
        <f t="shared" si="35"/>
        <v/>
      </c>
    </row>
    <row r="1878" spans="5:8">
      <c r="E1878" s="25" t="str">
        <f>IFERROR(VLOOKUP($B1878,テーブル12[],2,FALSE),"")</f>
        <v/>
      </c>
      <c r="F1878" s="25" t="str">
        <f>IFERROR(VLOOKUP($B1878,テーブル12[],3,FALSE),"")</f>
        <v/>
      </c>
      <c r="G1878" s="31" t="str">
        <f>IFERROR(VLOOKUP($B1878,テーブル12[],4,FALSE),"")</f>
        <v/>
      </c>
      <c r="H1878" s="25" t="str">
        <f t="shared" si="35"/>
        <v/>
      </c>
    </row>
    <row r="1879" spans="5:8">
      <c r="E1879" s="25" t="str">
        <f>IFERROR(VLOOKUP($B1879,テーブル12[],2,FALSE),"")</f>
        <v/>
      </c>
      <c r="F1879" s="25" t="str">
        <f>IFERROR(VLOOKUP($B1879,テーブル12[],3,FALSE),"")</f>
        <v/>
      </c>
      <c r="G1879" s="31" t="str">
        <f>IFERROR(VLOOKUP($B1879,テーブル12[],4,FALSE),"")</f>
        <v/>
      </c>
      <c r="H1879" s="25" t="str">
        <f t="shared" si="35"/>
        <v/>
      </c>
    </row>
    <row r="1880" spans="5:8">
      <c r="E1880" s="25" t="str">
        <f>IFERROR(VLOOKUP($B1880,テーブル12[],2,FALSE),"")</f>
        <v/>
      </c>
      <c r="F1880" s="25" t="str">
        <f>IFERROR(VLOOKUP($B1880,テーブル12[],3,FALSE),"")</f>
        <v/>
      </c>
      <c r="G1880" s="31" t="str">
        <f>IFERROR(VLOOKUP($B1880,テーブル12[],4,FALSE),"")</f>
        <v/>
      </c>
      <c r="H1880" s="25" t="str">
        <f t="shared" si="35"/>
        <v/>
      </c>
    </row>
    <row r="1881" spans="5:8">
      <c r="E1881" s="25" t="str">
        <f>IFERROR(VLOOKUP($B1881,テーブル12[],2,FALSE),"")</f>
        <v/>
      </c>
      <c r="F1881" s="25" t="str">
        <f>IFERROR(VLOOKUP($B1881,テーブル12[],3,FALSE),"")</f>
        <v/>
      </c>
      <c r="G1881" s="31" t="str">
        <f>IFERROR(VLOOKUP($B1881,テーブル12[],4,FALSE),"")</f>
        <v/>
      </c>
      <c r="H1881" s="25" t="str">
        <f t="shared" si="35"/>
        <v/>
      </c>
    </row>
    <row r="1882" spans="5:8">
      <c r="E1882" s="25" t="str">
        <f>IFERROR(VLOOKUP($B1882,テーブル12[],2,FALSE),"")</f>
        <v/>
      </c>
      <c r="F1882" s="25" t="str">
        <f>IFERROR(VLOOKUP($B1882,テーブル12[],3,FALSE),"")</f>
        <v/>
      </c>
      <c r="G1882" s="31" t="str">
        <f>IFERROR(VLOOKUP($B1882,テーブル12[],4,FALSE),"")</f>
        <v/>
      </c>
      <c r="H1882" s="25" t="str">
        <f t="shared" si="35"/>
        <v/>
      </c>
    </row>
    <row r="1883" spans="5:8">
      <c r="E1883" s="25" t="str">
        <f>IFERROR(VLOOKUP($B1883,テーブル12[],2,FALSE),"")</f>
        <v/>
      </c>
      <c r="F1883" s="25" t="str">
        <f>IFERROR(VLOOKUP($B1883,テーブル12[],3,FALSE),"")</f>
        <v/>
      </c>
      <c r="G1883" s="31" t="str">
        <f>IFERROR(VLOOKUP($B1883,テーブル12[],4,FALSE),"")</f>
        <v/>
      </c>
      <c r="H1883" s="25" t="str">
        <f t="shared" si="35"/>
        <v/>
      </c>
    </row>
    <row r="1884" spans="5:8">
      <c r="E1884" s="25" t="str">
        <f>IFERROR(VLOOKUP($B1884,テーブル12[],2,FALSE),"")</f>
        <v/>
      </c>
      <c r="F1884" s="25" t="str">
        <f>IFERROR(VLOOKUP($B1884,テーブル12[],3,FALSE),"")</f>
        <v/>
      </c>
      <c r="G1884" s="31" t="str">
        <f>IFERROR(VLOOKUP($B1884,テーブル12[],4,FALSE),"")</f>
        <v/>
      </c>
      <c r="H1884" s="25" t="str">
        <f t="shared" si="35"/>
        <v/>
      </c>
    </row>
    <row r="1885" spans="5:8">
      <c r="E1885" s="25" t="str">
        <f>IFERROR(VLOOKUP($B1885,テーブル12[],2,FALSE),"")</f>
        <v/>
      </c>
      <c r="F1885" s="25" t="str">
        <f>IFERROR(VLOOKUP($B1885,テーブル12[],3,FALSE),"")</f>
        <v/>
      </c>
      <c r="G1885" s="31" t="str">
        <f>IFERROR(VLOOKUP($B1885,テーブル12[],4,FALSE),"")</f>
        <v/>
      </c>
      <c r="H1885" s="25" t="str">
        <f t="shared" si="35"/>
        <v/>
      </c>
    </row>
    <row r="1886" spans="5:8">
      <c r="E1886" s="25" t="str">
        <f>IFERROR(VLOOKUP($B1886,テーブル12[],2,FALSE),"")</f>
        <v/>
      </c>
      <c r="F1886" s="25" t="str">
        <f>IFERROR(VLOOKUP($B1886,テーブル12[],3,FALSE),"")</f>
        <v/>
      </c>
      <c r="G1886" s="31" t="str">
        <f>IFERROR(VLOOKUP($B1886,テーブル12[],4,FALSE),"")</f>
        <v/>
      </c>
      <c r="H1886" s="25" t="str">
        <f t="shared" si="35"/>
        <v/>
      </c>
    </row>
    <row r="1887" spans="5:8">
      <c r="E1887" s="25" t="str">
        <f>IFERROR(VLOOKUP($B1887,テーブル12[],2,FALSE),"")</f>
        <v/>
      </c>
      <c r="F1887" s="25" t="str">
        <f>IFERROR(VLOOKUP($B1887,テーブル12[],3,FALSE),"")</f>
        <v/>
      </c>
      <c r="G1887" s="31" t="str">
        <f>IFERROR(VLOOKUP($B1887,テーブル12[],4,FALSE),"")</f>
        <v/>
      </c>
      <c r="H1887" s="25" t="str">
        <f t="shared" si="35"/>
        <v/>
      </c>
    </row>
    <row r="1888" spans="5:8">
      <c r="E1888" s="25" t="str">
        <f>IFERROR(VLOOKUP($B1888,テーブル12[],2,FALSE),"")</f>
        <v/>
      </c>
      <c r="F1888" s="25" t="str">
        <f>IFERROR(VLOOKUP($B1888,テーブル12[],3,FALSE),"")</f>
        <v/>
      </c>
      <c r="G1888" s="31" t="str">
        <f>IFERROR(VLOOKUP($B1888,テーブル12[],4,FALSE),"")</f>
        <v/>
      </c>
      <c r="H1888" s="25" t="str">
        <f t="shared" si="35"/>
        <v/>
      </c>
    </row>
    <row r="1889" spans="5:8">
      <c r="E1889" s="25" t="str">
        <f>IFERROR(VLOOKUP($B1889,テーブル12[],2,FALSE),"")</f>
        <v/>
      </c>
      <c r="F1889" s="25" t="str">
        <f>IFERROR(VLOOKUP($B1889,テーブル12[],3,FALSE),"")</f>
        <v/>
      </c>
      <c r="G1889" s="31" t="str">
        <f>IFERROR(VLOOKUP($B1889,テーブル12[],4,FALSE),"")</f>
        <v/>
      </c>
      <c r="H1889" s="25" t="str">
        <f t="shared" si="35"/>
        <v/>
      </c>
    </row>
    <row r="1890" spans="5:8">
      <c r="E1890" s="25" t="str">
        <f>IFERROR(VLOOKUP($B1890,テーブル12[],2,FALSE),"")</f>
        <v/>
      </c>
      <c r="F1890" s="25" t="str">
        <f>IFERROR(VLOOKUP($B1890,テーブル12[],3,FALSE),"")</f>
        <v/>
      </c>
      <c r="G1890" s="31" t="str">
        <f>IFERROR(VLOOKUP($B1890,テーブル12[],4,FALSE),"")</f>
        <v/>
      </c>
      <c r="H1890" s="25" t="str">
        <f t="shared" si="35"/>
        <v/>
      </c>
    </row>
    <row r="1891" spans="5:8">
      <c r="E1891" s="25" t="str">
        <f>IFERROR(VLOOKUP($B1891,テーブル12[],2,FALSE),"")</f>
        <v/>
      </c>
      <c r="F1891" s="25" t="str">
        <f>IFERROR(VLOOKUP($B1891,テーブル12[],3,FALSE),"")</f>
        <v/>
      </c>
      <c r="G1891" s="31" t="str">
        <f>IFERROR(VLOOKUP($B1891,テーブル12[],4,FALSE),"")</f>
        <v/>
      </c>
      <c r="H1891" s="25" t="str">
        <f t="shared" si="35"/>
        <v/>
      </c>
    </row>
    <row r="1892" spans="5:8">
      <c r="E1892" s="25" t="str">
        <f>IFERROR(VLOOKUP($B1892,テーブル12[],2,FALSE),"")</f>
        <v/>
      </c>
      <c r="F1892" s="25" t="str">
        <f>IFERROR(VLOOKUP($B1892,テーブル12[],3,FALSE),"")</f>
        <v/>
      </c>
      <c r="G1892" s="31" t="str">
        <f>IFERROR(VLOOKUP($B1892,テーブル12[],4,FALSE),"")</f>
        <v/>
      </c>
      <c r="H1892" s="25" t="str">
        <f t="shared" si="35"/>
        <v/>
      </c>
    </row>
    <row r="1893" spans="5:8">
      <c r="E1893" s="25" t="str">
        <f>IFERROR(VLOOKUP($B1893,テーブル12[],2,FALSE),"")</f>
        <v/>
      </c>
      <c r="F1893" s="25" t="str">
        <f>IFERROR(VLOOKUP($B1893,テーブル12[],3,FALSE),"")</f>
        <v/>
      </c>
      <c r="G1893" s="31" t="str">
        <f>IFERROR(VLOOKUP($B1893,テーブル12[],4,FALSE),"")</f>
        <v/>
      </c>
      <c r="H1893" s="25" t="str">
        <f t="shared" si="35"/>
        <v/>
      </c>
    </row>
    <row r="1894" spans="5:8">
      <c r="E1894" s="25" t="str">
        <f>IFERROR(VLOOKUP($B1894,テーブル12[],2,FALSE),"")</f>
        <v/>
      </c>
      <c r="F1894" s="25" t="str">
        <f>IFERROR(VLOOKUP($B1894,テーブル12[],3,FALSE),"")</f>
        <v/>
      </c>
      <c r="G1894" s="31" t="str">
        <f>IFERROR(VLOOKUP($B1894,テーブル12[],4,FALSE),"")</f>
        <v/>
      </c>
      <c r="H1894" s="25" t="str">
        <f t="shared" si="35"/>
        <v/>
      </c>
    </row>
    <row r="1895" spans="5:8">
      <c r="E1895" s="25" t="str">
        <f>IFERROR(VLOOKUP($B1895,テーブル12[],2,FALSE),"")</f>
        <v/>
      </c>
      <c r="F1895" s="25" t="str">
        <f>IFERROR(VLOOKUP($B1895,テーブル12[],3,FALSE),"")</f>
        <v/>
      </c>
      <c r="G1895" s="31" t="str">
        <f>IFERROR(VLOOKUP($B1895,テーブル12[],4,FALSE),"")</f>
        <v/>
      </c>
      <c r="H1895" s="25" t="str">
        <f t="shared" si="35"/>
        <v/>
      </c>
    </row>
    <row r="1896" spans="5:8">
      <c r="E1896" s="25" t="str">
        <f>IFERROR(VLOOKUP($B1896,テーブル12[],2,FALSE),"")</f>
        <v/>
      </c>
      <c r="F1896" s="25" t="str">
        <f>IFERROR(VLOOKUP($B1896,テーブル12[],3,FALSE),"")</f>
        <v/>
      </c>
      <c r="G1896" s="31" t="str">
        <f>IFERROR(VLOOKUP($B1896,テーブル12[],4,FALSE),"")</f>
        <v/>
      </c>
      <c r="H1896" s="25" t="str">
        <f t="shared" si="35"/>
        <v/>
      </c>
    </row>
    <row r="1897" spans="5:8">
      <c r="E1897" s="25" t="str">
        <f>IFERROR(VLOOKUP($B1897,テーブル12[],2,FALSE),"")</f>
        <v/>
      </c>
      <c r="F1897" s="25" t="str">
        <f>IFERROR(VLOOKUP($B1897,テーブル12[],3,FALSE),"")</f>
        <v/>
      </c>
      <c r="G1897" s="31" t="str">
        <f>IFERROR(VLOOKUP($B1897,テーブル12[],4,FALSE),"")</f>
        <v/>
      </c>
      <c r="H1897" s="25" t="str">
        <f t="shared" si="35"/>
        <v/>
      </c>
    </row>
    <row r="1898" spans="5:8">
      <c r="E1898" s="25" t="str">
        <f>IFERROR(VLOOKUP($B1898,テーブル12[],2,FALSE),"")</f>
        <v/>
      </c>
      <c r="F1898" s="25" t="str">
        <f>IFERROR(VLOOKUP($B1898,テーブル12[],3,FALSE),"")</f>
        <v/>
      </c>
      <c r="G1898" s="31" t="str">
        <f>IFERROR(VLOOKUP($B1898,テーブル12[],4,FALSE),"")</f>
        <v/>
      </c>
      <c r="H1898" s="25" t="str">
        <f t="shared" si="35"/>
        <v/>
      </c>
    </row>
    <row r="1899" spans="5:8">
      <c r="E1899" s="25" t="str">
        <f>IFERROR(VLOOKUP($B1899,テーブル12[],2,FALSE),"")</f>
        <v/>
      </c>
      <c r="F1899" s="25" t="str">
        <f>IFERROR(VLOOKUP($B1899,テーブル12[],3,FALSE),"")</f>
        <v/>
      </c>
      <c r="G1899" s="31" t="str">
        <f>IFERROR(VLOOKUP($B1899,テーブル12[],4,FALSE),"")</f>
        <v/>
      </c>
      <c r="H1899" s="25" t="str">
        <f t="shared" si="35"/>
        <v/>
      </c>
    </row>
    <row r="1900" spans="5:8">
      <c r="E1900" s="25" t="str">
        <f>IFERROR(VLOOKUP($B1900,テーブル12[],2,FALSE),"")</f>
        <v/>
      </c>
      <c r="F1900" s="25" t="str">
        <f>IFERROR(VLOOKUP($B1900,テーブル12[],3,FALSE),"")</f>
        <v/>
      </c>
      <c r="G1900" s="31" t="str">
        <f>IFERROR(VLOOKUP($B1900,テーブル12[],4,FALSE),"")</f>
        <v/>
      </c>
      <c r="H1900" s="25" t="str">
        <f t="shared" si="35"/>
        <v/>
      </c>
    </row>
    <row r="1901" spans="5:8">
      <c r="E1901" s="25" t="str">
        <f>IFERROR(VLOOKUP($B1901,テーブル12[],2,FALSE),"")</f>
        <v/>
      </c>
      <c r="F1901" s="25" t="str">
        <f>IFERROR(VLOOKUP($B1901,テーブル12[],3,FALSE),"")</f>
        <v/>
      </c>
      <c r="G1901" s="31" t="str">
        <f>IFERROR(VLOOKUP($B1901,テーブル12[],4,FALSE),"")</f>
        <v/>
      </c>
      <c r="H1901" s="25" t="str">
        <f t="shared" si="35"/>
        <v/>
      </c>
    </row>
    <row r="1902" spans="5:8">
      <c r="E1902" s="25" t="str">
        <f>IFERROR(VLOOKUP($B1902,テーブル12[],2,FALSE),"")</f>
        <v/>
      </c>
      <c r="F1902" s="25" t="str">
        <f>IFERROR(VLOOKUP($B1902,テーブル12[],3,FALSE),"")</f>
        <v/>
      </c>
      <c r="G1902" s="31" t="str">
        <f>IFERROR(VLOOKUP($B1902,テーブル12[],4,FALSE),"")</f>
        <v/>
      </c>
      <c r="H1902" s="25" t="str">
        <f t="shared" si="35"/>
        <v/>
      </c>
    </row>
    <row r="1903" spans="5:8">
      <c r="E1903" s="25" t="str">
        <f>IFERROR(VLOOKUP($B1903,テーブル12[],2,FALSE),"")</f>
        <v/>
      </c>
      <c r="F1903" s="25" t="str">
        <f>IFERROR(VLOOKUP($B1903,テーブル12[],3,FALSE),"")</f>
        <v/>
      </c>
      <c r="G1903" s="31" t="str">
        <f>IFERROR(VLOOKUP($B1903,テーブル12[],4,FALSE),"")</f>
        <v/>
      </c>
      <c r="H1903" s="25" t="str">
        <f t="shared" si="35"/>
        <v/>
      </c>
    </row>
    <row r="1904" spans="5:8">
      <c r="E1904" s="25" t="str">
        <f>IFERROR(VLOOKUP($B1904,テーブル12[],2,FALSE),"")</f>
        <v/>
      </c>
      <c r="F1904" s="25" t="str">
        <f>IFERROR(VLOOKUP($B1904,テーブル12[],3,FALSE),"")</f>
        <v/>
      </c>
      <c r="G1904" s="31" t="str">
        <f>IFERROR(VLOOKUP($B1904,テーブル12[],4,FALSE),"")</f>
        <v/>
      </c>
      <c r="H1904" s="25" t="str">
        <f t="shared" si="35"/>
        <v/>
      </c>
    </row>
    <row r="1905" spans="5:8">
      <c r="E1905" s="25" t="str">
        <f>IFERROR(VLOOKUP($B1905,テーブル12[],2,FALSE),"")</f>
        <v/>
      </c>
      <c r="F1905" s="25" t="str">
        <f>IFERROR(VLOOKUP($B1905,テーブル12[],3,FALSE),"")</f>
        <v/>
      </c>
      <c r="G1905" s="31" t="str">
        <f>IFERROR(VLOOKUP($B1905,テーブル12[],4,FALSE),"")</f>
        <v/>
      </c>
      <c r="H1905" s="25" t="str">
        <f t="shared" si="35"/>
        <v/>
      </c>
    </row>
    <row r="1906" spans="5:8">
      <c r="E1906" s="25" t="str">
        <f>IFERROR(VLOOKUP($B1906,テーブル12[],2,FALSE),"")</f>
        <v/>
      </c>
      <c r="F1906" s="25" t="str">
        <f>IFERROR(VLOOKUP($B1906,テーブル12[],3,FALSE),"")</f>
        <v/>
      </c>
      <c r="G1906" s="31" t="str">
        <f>IFERROR(VLOOKUP($B1906,テーブル12[],4,FALSE),"")</f>
        <v/>
      </c>
      <c r="H1906" s="25" t="str">
        <f t="shared" si="35"/>
        <v/>
      </c>
    </row>
    <row r="1907" spans="5:8">
      <c r="E1907" s="25" t="str">
        <f>IFERROR(VLOOKUP($B1907,テーブル12[],2,FALSE),"")</f>
        <v/>
      </c>
      <c r="F1907" s="25" t="str">
        <f>IFERROR(VLOOKUP($B1907,テーブル12[],3,FALSE),"")</f>
        <v/>
      </c>
      <c r="G1907" s="31" t="str">
        <f>IFERROR(VLOOKUP($B1907,テーブル12[],4,FALSE),"")</f>
        <v/>
      </c>
      <c r="H1907" s="25" t="str">
        <f t="shared" si="35"/>
        <v/>
      </c>
    </row>
    <row r="1908" spans="5:8">
      <c r="E1908" s="25" t="str">
        <f>IFERROR(VLOOKUP($B1908,テーブル12[],2,FALSE),"")</f>
        <v/>
      </c>
      <c r="F1908" s="25" t="str">
        <f>IFERROR(VLOOKUP($B1908,テーブル12[],3,FALSE),"")</f>
        <v/>
      </c>
      <c r="G1908" s="31" t="str">
        <f>IFERROR(VLOOKUP($B1908,テーブル12[],4,FALSE),"")</f>
        <v/>
      </c>
      <c r="H1908" s="25" t="str">
        <f t="shared" si="35"/>
        <v/>
      </c>
    </row>
    <row r="1909" spans="5:8">
      <c r="E1909" s="25" t="str">
        <f>IFERROR(VLOOKUP($B1909,テーブル12[],2,FALSE),"")</f>
        <v/>
      </c>
      <c r="F1909" s="25" t="str">
        <f>IFERROR(VLOOKUP($B1909,テーブル12[],3,FALSE),"")</f>
        <v/>
      </c>
      <c r="G1909" s="31" t="str">
        <f>IFERROR(VLOOKUP($B1909,テーブル12[],4,FALSE),"")</f>
        <v/>
      </c>
      <c r="H1909" s="25" t="str">
        <f t="shared" si="35"/>
        <v/>
      </c>
    </row>
    <row r="1910" spans="5:8">
      <c r="E1910" s="25" t="str">
        <f>IFERROR(VLOOKUP($B1910,テーブル12[],2,FALSE),"")</f>
        <v/>
      </c>
      <c r="F1910" s="25" t="str">
        <f>IFERROR(VLOOKUP($B1910,テーブル12[],3,FALSE),"")</f>
        <v/>
      </c>
      <c r="G1910" s="31" t="str">
        <f>IFERROR(VLOOKUP($B1910,テーブル12[],4,FALSE),"")</f>
        <v/>
      </c>
      <c r="H1910" s="25" t="str">
        <f t="shared" si="35"/>
        <v/>
      </c>
    </row>
    <row r="1911" spans="5:8">
      <c r="E1911" s="25" t="str">
        <f>IFERROR(VLOOKUP($B1911,テーブル12[],2,FALSE),"")</f>
        <v/>
      </c>
      <c r="F1911" s="25" t="str">
        <f>IFERROR(VLOOKUP($B1911,テーブル12[],3,FALSE),"")</f>
        <v/>
      </c>
      <c r="G1911" s="31" t="str">
        <f>IFERROR(VLOOKUP($B1911,テーブル12[],4,FALSE),"")</f>
        <v/>
      </c>
      <c r="H1911" s="25" t="str">
        <f t="shared" si="35"/>
        <v/>
      </c>
    </row>
    <row r="1912" spans="5:8">
      <c r="E1912" s="25" t="str">
        <f>IFERROR(VLOOKUP($B1912,テーブル12[],2,FALSE),"")</f>
        <v/>
      </c>
      <c r="F1912" s="25" t="str">
        <f>IFERROR(VLOOKUP($B1912,テーブル12[],3,FALSE),"")</f>
        <v/>
      </c>
      <c r="G1912" s="31" t="str">
        <f>IFERROR(VLOOKUP($B1912,テーブル12[],4,FALSE),"")</f>
        <v/>
      </c>
      <c r="H1912" s="25" t="str">
        <f t="shared" si="35"/>
        <v/>
      </c>
    </row>
    <row r="1913" spans="5:8">
      <c r="E1913" s="25" t="str">
        <f>IFERROR(VLOOKUP($B1913,テーブル12[],2,FALSE),"")</f>
        <v/>
      </c>
      <c r="F1913" s="25" t="str">
        <f>IFERROR(VLOOKUP($B1913,テーブル12[],3,FALSE),"")</f>
        <v/>
      </c>
      <c r="G1913" s="31" t="str">
        <f>IFERROR(VLOOKUP($B1913,テーブル12[],4,FALSE),"")</f>
        <v/>
      </c>
      <c r="H1913" s="25" t="str">
        <f t="shared" si="35"/>
        <v/>
      </c>
    </row>
    <row r="1914" spans="5:8">
      <c r="E1914" s="25" t="str">
        <f>IFERROR(VLOOKUP($B1914,テーブル12[],2,FALSE),"")</f>
        <v/>
      </c>
      <c r="F1914" s="25" t="str">
        <f>IFERROR(VLOOKUP($B1914,テーブル12[],3,FALSE),"")</f>
        <v/>
      </c>
      <c r="G1914" s="31" t="str">
        <f>IFERROR(VLOOKUP($B1914,テーブル12[],4,FALSE),"")</f>
        <v/>
      </c>
      <c r="H1914" s="25" t="str">
        <f t="shared" si="35"/>
        <v/>
      </c>
    </row>
    <row r="1915" spans="5:8">
      <c r="E1915" s="25" t="str">
        <f>IFERROR(VLOOKUP($B1915,テーブル12[],2,FALSE),"")</f>
        <v/>
      </c>
      <c r="F1915" s="25" t="str">
        <f>IFERROR(VLOOKUP($B1915,テーブル12[],3,FALSE),"")</f>
        <v/>
      </c>
      <c r="G1915" s="31" t="str">
        <f>IFERROR(VLOOKUP($B1915,テーブル12[],4,FALSE),"")</f>
        <v/>
      </c>
      <c r="H1915" s="25" t="str">
        <f t="shared" si="35"/>
        <v/>
      </c>
    </row>
    <row r="1916" spans="5:8">
      <c r="E1916" s="25" t="str">
        <f>IFERROR(VLOOKUP($B1916,テーブル12[],2,FALSE),"")</f>
        <v/>
      </c>
      <c r="F1916" s="25" t="str">
        <f>IFERROR(VLOOKUP($B1916,テーブル12[],3,FALSE),"")</f>
        <v/>
      </c>
      <c r="G1916" s="31" t="str">
        <f>IFERROR(VLOOKUP($B1916,テーブル12[],4,FALSE),"")</f>
        <v/>
      </c>
      <c r="H1916" s="25" t="str">
        <f t="shared" si="35"/>
        <v/>
      </c>
    </row>
    <row r="1917" spans="5:8">
      <c r="E1917" s="25" t="str">
        <f>IFERROR(VLOOKUP($B1917,テーブル12[],2,FALSE),"")</f>
        <v/>
      </c>
      <c r="F1917" s="25" t="str">
        <f>IFERROR(VLOOKUP($B1917,テーブル12[],3,FALSE),"")</f>
        <v/>
      </c>
      <c r="G1917" s="31" t="str">
        <f>IFERROR(VLOOKUP($B1917,テーブル12[],4,FALSE),"")</f>
        <v/>
      </c>
      <c r="H1917" s="25" t="str">
        <f t="shared" si="35"/>
        <v/>
      </c>
    </row>
    <row r="1918" spans="5:8">
      <c r="E1918" s="25" t="str">
        <f>IFERROR(VLOOKUP($B1918,テーブル12[],2,FALSE),"")</f>
        <v/>
      </c>
      <c r="F1918" s="25" t="str">
        <f>IFERROR(VLOOKUP($B1918,テーブル12[],3,FALSE),"")</f>
        <v/>
      </c>
      <c r="G1918" s="31" t="str">
        <f>IFERROR(VLOOKUP($B1918,テーブル12[],4,FALSE),"")</f>
        <v/>
      </c>
      <c r="H1918" s="25" t="str">
        <f t="shared" si="35"/>
        <v/>
      </c>
    </row>
    <row r="1919" spans="5:8">
      <c r="E1919" s="25" t="str">
        <f>IFERROR(VLOOKUP($B1919,テーブル12[],2,FALSE),"")</f>
        <v/>
      </c>
      <c r="F1919" s="25" t="str">
        <f>IFERROR(VLOOKUP($B1919,テーブル12[],3,FALSE),"")</f>
        <v/>
      </c>
      <c r="G1919" s="31" t="str">
        <f>IFERROR(VLOOKUP($B1919,テーブル12[],4,FALSE),"")</f>
        <v/>
      </c>
      <c r="H1919" s="25" t="str">
        <f t="shared" si="35"/>
        <v/>
      </c>
    </row>
    <row r="1920" spans="5:8">
      <c r="E1920" s="25" t="str">
        <f>IFERROR(VLOOKUP($B1920,テーブル12[],2,FALSE),"")</f>
        <v/>
      </c>
      <c r="F1920" s="25" t="str">
        <f>IFERROR(VLOOKUP($B1920,テーブル12[],3,FALSE),"")</f>
        <v/>
      </c>
      <c r="G1920" s="31" t="str">
        <f>IFERROR(VLOOKUP($B1920,テーブル12[],4,FALSE),"")</f>
        <v/>
      </c>
      <c r="H1920" s="25" t="str">
        <f t="shared" si="35"/>
        <v/>
      </c>
    </row>
    <row r="1921" spans="5:8">
      <c r="E1921" s="25" t="str">
        <f>IFERROR(VLOOKUP($B1921,テーブル12[],2,FALSE),"")</f>
        <v/>
      </c>
      <c r="F1921" s="25" t="str">
        <f>IFERROR(VLOOKUP($B1921,テーブル12[],3,FALSE),"")</f>
        <v/>
      </c>
      <c r="G1921" s="31" t="str">
        <f>IFERROR(VLOOKUP($B1921,テーブル12[],4,FALSE),"")</f>
        <v/>
      </c>
      <c r="H1921" s="25" t="str">
        <f t="shared" si="35"/>
        <v/>
      </c>
    </row>
    <row r="1922" spans="5:8">
      <c r="E1922" s="25" t="str">
        <f>IFERROR(VLOOKUP($B1922,テーブル12[],2,FALSE),"")</f>
        <v/>
      </c>
      <c r="F1922" s="25" t="str">
        <f>IFERROR(VLOOKUP($B1922,テーブル12[],3,FALSE),"")</f>
        <v/>
      </c>
      <c r="G1922" s="31" t="str">
        <f>IFERROR(VLOOKUP($B1922,テーブル12[],4,FALSE),"")</f>
        <v/>
      </c>
      <c r="H1922" s="25" t="str">
        <f t="shared" ref="H1922:H1985" si="36">IF(C1922=0,"",C1922)</f>
        <v/>
      </c>
    </row>
    <row r="1923" spans="5:8">
      <c r="E1923" s="25" t="str">
        <f>IFERROR(VLOOKUP($B1923,テーブル12[],2,FALSE),"")</f>
        <v/>
      </c>
      <c r="F1923" s="25" t="str">
        <f>IFERROR(VLOOKUP($B1923,テーブル12[],3,FALSE),"")</f>
        <v/>
      </c>
      <c r="G1923" s="31" t="str">
        <f>IFERROR(VLOOKUP($B1923,テーブル12[],4,FALSE),"")</f>
        <v/>
      </c>
      <c r="H1923" s="25" t="str">
        <f t="shared" si="36"/>
        <v/>
      </c>
    </row>
    <row r="1924" spans="5:8">
      <c r="E1924" s="25" t="str">
        <f>IFERROR(VLOOKUP($B1924,テーブル12[],2,FALSE),"")</f>
        <v/>
      </c>
      <c r="F1924" s="25" t="str">
        <f>IFERROR(VLOOKUP($B1924,テーブル12[],3,FALSE),"")</f>
        <v/>
      </c>
      <c r="G1924" s="31" t="str">
        <f>IFERROR(VLOOKUP($B1924,テーブル12[],4,FALSE),"")</f>
        <v/>
      </c>
      <c r="H1924" s="25" t="str">
        <f t="shared" si="36"/>
        <v/>
      </c>
    </row>
    <row r="1925" spans="5:8">
      <c r="E1925" s="25" t="str">
        <f>IFERROR(VLOOKUP($B1925,テーブル12[],2,FALSE),"")</f>
        <v/>
      </c>
      <c r="F1925" s="25" t="str">
        <f>IFERROR(VLOOKUP($B1925,テーブル12[],3,FALSE),"")</f>
        <v/>
      </c>
      <c r="G1925" s="31" t="str">
        <f>IFERROR(VLOOKUP($B1925,テーブル12[],4,FALSE),"")</f>
        <v/>
      </c>
      <c r="H1925" s="25" t="str">
        <f t="shared" si="36"/>
        <v/>
      </c>
    </row>
    <row r="1926" spans="5:8">
      <c r="E1926" s="25" t="str">
        <f>IFERROR(VLOOKUP($B1926,テーブル12[],2,FALSE),"")</f>
        <v/>
      </c>
      <c r="F1926" s="25" t="str">
        <f>IFERROR(VLOOKUP($B1926,テーブル12[],3,FALSE),"")</f>
        <v/>
      </c>
      <c r="G1926" s="31" t="str">
        <f>IFERROR(VLOOKUP($B1926,テーブル12[],4,FALSE),"")</f>
        <v/>
      </c>
      <c r="H1926" s="25" t="str">
        <f t="shared" si="36"/>
        <v/>
      </c>
    </row>
    <row r="1927" spans="5:8">
      <c r="E1927" s="25" t="str">
        <f>IFERROR(VLOOKUP($B1927,テーブル12[],2,FALSE),"")</f>
        <v/>
      </c>
      <c r="F1927" s="25" t="str">
        <f>IFERROR(VLOOKUP($B1927,テーブル12[],3,FALSE),"")</f>
        <v/>
      </c>
      <c r="G1927" s="31" t="str">
        <f>IFERROR(VLOOKUP($B1927,テーブル12[],4,FALSE),"")</f>
        <v/>
      </c>
      <c r="H1927" s="25" t="str">
        <f t="shared" si="36"/>
        <v/>
      </c>
    </row>
    <row r="1928" spans="5:8">
      <c r="E1928" s="25" t="str">
        <f>IFERROR(VLOOKUP($B1928,テーブル12[],2,FALSE),"")</f>
        <v/>
      </c>
      <c r="F1928" s="25" t="str">
        <f>IFERROR(VLOOKUP($B1928,テーブル12[],3,FALSE),"")</f>
        <v/>
      </c>
      <c r="G1928" s="31" t="str">
        <f>IFERROR(VLOOKUP($B1928,テーブル12[],4,FALSE),"")</f>
        <v/>
      </c>
      <c r="H1928" s="25" t="str">
        <f t="shared" si="36"/>
        <v/>
      </c>
    </row>
    <row r="1929" spans="5:8">
      <c r="E1929" s="25" t="str">
        <f>IFERROR(VLOOKUP($B1929,テーブル12[],2,FALSE),"")</f>
        <v/>
      </c>
      <c r="F1929" s="25" t="str">
        <f>IFERROR(VLOOKUP($B1929,テーブル12[],3,FALSE),"")</f>
        <v/>
      </c>
      <c r="G1929" s="31" t="str">
        <f>IFERROR(VLOOKUP($B1929,テーブル12[],4,FALSE),"")</f>
        <v/>
      </c>
      <c r="H1929" s="25" t="str">
        <f t="shared" si="36"/>
        <v/>
      </c>
    </row>
    <row r="1930" spans="5:8">
      <c r="E1930" s="25" t="str">
        <f>IFERROR(VLOOKUP($B1930,テーブル12[],2,FALSE),"")</f>
        <v/>
      </c>
      <c r="F1930" s="25" t="str">
        <f>IFERROR(VLOOKUP($B1930,テーブル12[],3,FALSE),"")</f>
        <v/>
      </c>
      <c r="G1930" s="31" t="str">
        <f>IFERROR(VLOOKUP($B1930,テーブル12[],4,FALSE),"")</f>
        <v/>
      </c>
      <c r="H1930" s="25" t="str">
        <f t="shared" si="36"/>
        <v/>
      </c>
    </row>
    <row r="1931" spans="5:8">
      <c r="E1931" s="25" t="str">
        <f>IFERROR(VLOOKUP($B1931,テーブル12[],2,FALSE),"")</f>
        <v/>
      </c>
      <c r="F1931" s="25" t="str">
        <f>IFERROR(VLOOKUP($B1931,テーブル12[],3,FALSE),"")</f>
        <v/>
      </c>
      <c r="G1931" s="31" t="str">
        <f>IFERROR(VLOOKUP($B1931,テーブル12[],4,FALSE),"")</f>
        <v/>
      </c>
      <c r="H1931" s="25" t="str">
        <f t="shared" si="36"/>
        <v/>
      </c>
    </row>
    <row r="1932" spans="5:8">
      <c r="E1932" s="25" t="str">
        <f>IFERROR(VLOOKUP($B1932,テーブル12[],2,FALSE),"")</f>
        <v/>
      </c>
      <c r="F1932" s="25" t="str">
        <f>IFERROR(VLOOKUP($B1932,テーブル12[],3,FALSE),"")</f>
        <v/>
      </c>
      <c r="G1932" s="31" t="str">
        <f>IFERROR(VLOOKUP($B1932,テーブル12[],4,FALSE),"")</f>
        <v/>
      </c>
      <c r="H1932" s="25" t="str">
        <f t="shared" si="36"/>
        <v/>
      </c>
    </row>
    <row r="1933" spans="5:8">
      <c r="E1933" s="25" t="str">
        <f>IFERROR(VLOOKUP($B1933,テーブル12[],2,FALSE),"")</f>
        <v/>
      </c>
      <c r="F1933" s="25" t="str">
        <f>IFERROR(VLOOKUP($B1933,テーブル12[],3,FALSE),"")</f>
        <v/>
      </c>
      <c r="G1933" s="31" t="str">
        <f>IFERROR(VLOOKUP($B1933,テーブル12[],4,FALSE),"")</f>
        <v/>
      </c>
      <c r="H1933" s="25" t="str">
        <f t="shared" si="36"/>
        <v/>
      </c>
    </row>
    <row r="1934" spans="5:8">
      <c r="E1934" s="25" t="str">
        <f>IFERROR(VLOOKUP($B1934,テーブル12[],2,FALSE),"")</f>
        <v/>
      </c>
      <c r="F1934" s="25" t="str">
        <f>IFERROR(VLOOKUP($B1934,テーブル12[],3,FALSE),"")</f>
        <v/>
      </c>
      <c r="G1934" s="31" t="str">
        <f>IFERROR(VLOOKUP($B1934,テーブル12[],4,FALSE),"")</f>
        <v/>
      </c>
      <c r="H1934" s="25" t="str">
        <f t="shared" si="36"/>
        <v/>
      </c>
    </row>
    <row r="1935" spans="5:8">
      <c r="E1935" s="25" t="str">
        <f>IFERROR(VLOOKUP($B1935,テーブル12[],2,FALSE),"")</f>
        <v/>
      </c>
      <c r="F1935" s="25" t="str">
        <f>IFERROR(VLOOKUP($B1935,テーブル12[],3,FALSE),"")</f>
        <v/>
      </c>
      <c r="G1935" s="31" t="str">
        <f>IFERROR(VLOOKUP($B1935,テーブル12[],4,FALSE),"")</f>
        <v/>
      </c>
      <c r="H1935" s="25" t="str">
        <f t="shared" si="36"/>
        <v/>
      </c>
    </row>
    <row r="1936" spans="5:8">
      <c r="E1936" s="25" t="str">
        <f>IFERROR(VLOOKUP($B1936,テーブル12[],2,FALSE),"")</f>
        <v/>
      </c>
      <c r="F1936" s="25" t="str">
        <f>IFERROR(VLOOKUP($B1936,テーブル12[],3,FALSE),"")</f>
        <v/>
      </c>
      <c r="G1936" s="31" t="str">
        <f>IFERROR(VLOOKUP($B1936,テーブル12[],4,FALSE),"")</f>
        <v/>
      </c>
      <c r="H1936" s="25" t="str">
        <f t="shared" si="36"/>
        <v/>
      </c>
    </row>
    <row r="1937" spans="5:8">
      <c r="E1937" s="25" t="str">
        <f>IFERROR(VLOOKUP($B1937,テーブル12[],2,FALSE),"")</f>
        <v/>
      </c>
      <c r="F1937" s="25" t="str">
        <f>IFERROR(VLOOKUP($B1937,テーブル12[],3,FALSE),"")</f>
        <v/>
      </c>
      <c r="G1937" s="31" t="str">
        <f>IFERROR(VLOOKUP($B1937,テーブル12[],4,FALSE),"")</f>
        <v/>
      </c>
      <c r="H1937" s="25" t="str">
        <f t="shared" si="36"/>
        <v/>
      </c>
    </row>
    <row r="1938" spans="5:8">
      <c r="E1938" s="25" t="str">
        <f>IFERROR(VLOOKUP($B1938,テーブル12[],2,FALSE),"")</f>
        <v/>
      </c>
      <c r="F1938" s="25" t="str">
        <f>IFERROR(VLOOKUP($B1938,テーブル12[],3,FALSE),"")</f>
        <v/>
      </c>
      <c r="G1938" s="31" t="str">
        <f>IFERROR(VLOOKUP($B1938,テーブル12[],4,FALSE),"")</f>
        <v/>
      </c>
      <c r="H1938" s="25" t="str">
        <f t="shared" si="36"/>
        <v/>
      </c>
    </row>
    <row r="1939" spans="5:8">
      <c r="E1939" s="25" t="str">
        <f>IFERROR(VLOOKUP($B1939,テーブル12[],2,FALSE),"")</f>
        <v/>
      </c>
      <c r="F1939" s="25" t="str">
        <f>IFERROR(VLOOKUP($B1939,テーブル12[],3,FALSE),"")</f>
        <v/>
      </c>
      <c r="G1939" s="31" t="str">
        <f>IFERROR(VLOOKUP($B1939,テーブル12[],4,FALSE),"")</f>
        <v/>
      </c>
      <c r="H1939" s="25" t="str">
        <f t="shared" si="36"/>
        <v/>
      </c>
    </row>
    <row r="1940" spans="5:8">
      <c r="E1940" s="25" t="str">
        <f>IFERROR(VLOOKUP($B1940,テーブル12[],2,FALSE),"")</f>
        <v/>
      </c>
      <c r="F1940" s="25" t="str">
        <f>IFERROR(VLOOKUP($B1940,テーブル12[],3,FALSE),"")</f>
        <v/>
      </c>
      <c r="G1940" s="31" t="str">
        <f>IFERROR(VLOOKUP($B1940,テーブル12[],4,FALSE),"")</f>
        <v/>
      </c>
      <c r="H1940" s="25" t="str">
        <f t="shared" si="36"/>
        <v/>
      </c>
    </row>
    <row r="1941" spans="5:8">
      <c r="E1941" s="25" t="str">
        <f>IFERROR(VLOOKUP($B1941,テーブル12[],2,FALSE),"")</f>
        <v/>
      </c>
      <c r="F1941" s="25" t="str">
        <f>IFERROR(VLOOKUP($B1941,テーブル12[],3,FALSE),"")</f>
        <v/>
      </c>
      <c r="G1941" s="31" t="str">
        <f>IFERROR(VLOOKUP($B1941,テーブル12[],4,FALSE),"")</f>
        <v/>
      </c>
      <c r="H1941" s="25" t="str">
        <f t="shared" si="36"/>
        <v/>
      </c>
    </row>
    <row r="1942" spans="5:8">
      <c r="E1942" s="25" t="str">
        <f>IFERROR(VLOOKUP($B1942,テーブル12[],2,FALSE),"")</f>
        <v/>
      </c>
      <c r="F1942" s="25" t="str">
        <f>IFERROR(VLOOKUP($B1942,テーブル12[],3,FALSE),"")</f>
        <v/>
      </c>
      <c r="G1942" s="31" t="str">
        <f>IFERROR(VLOOKUP($B1942,テーブル12[],4,FALSE),"")</f>
        <v/>
      </c>
      <c r="H1942" s="25" t="str">
        <f t="shared" si="36"/>
        <v/>
      </c>
    </row>
    <row r="1943" spans="5:8">
      <c r="E1943" s="25" t="str">
        <f>IFERROR(VLOOKUP($B1943,テーブル12[],2,FALSE),"")</f>
        <v/>
      </c>
      <c r="F1943" s="25" t="str">
        <f>IFERROR(VLOOKUP($B1943,テーブル12[],3,FALSE),"")</f>
        <v/>
      </c>
      <c r="G1943" s="31" t="str">
        <f>IFERROR(VLOOKUP($B1943,テーブル12[],4,FALSE),"")</f>
        <v/>
      </c>
      <c r="H1943" s="25" t="str">
        <f t="shared" si="36"/>
        <v/>
      </c>
    </row>
    <row r="1944" spans="5:8">
      <c r="E1944" s="25" t="str">
        <f>IFERROR(VLOOKUP($B1944,テーブル12[],2,FALSE),"")</f>
        <v/>
      </c>
      <c r="F1944" s="25" t="str">
        <f>IFERROR(VLOOKUP($B1944,テーブル12[],3,FALSE),"")</f>
        <v/>
      </c>
      <c r="G1944" s="31" t="str">
        <f>IFERROR(VLOOKUP($B1944,テーブル12[],4,FALSE),"")</f>
        <v/>
      </c>
      <c r="H1944" s="25" t="str">
        <f t="shared" si="36"/>
        <v/>
      </c>
    </row>
    <row r="1945" spans="5:8">
      <c r="E1945" s="25" t="str">
        <f>IFERROR(VLOOKUP($B1945,テーブル12[],2,FALSE),"")</f>
        <v/>
      </c>
      <c r="F1945" s="25" t="str">
        <f>IFERROR(VLOOKUP($B1945,テーブル12[],3,FALSE),"")</f>
        <v/>
      </c>
      <c r="G1945" s="31" t="str">
        <f>IFERROR(VLOOKUP($B1945,テーブル12[],4,FALSE),"")</f>
        <v/>
      </c>
      <c r="H1945" s="25" t="str">
        <f t="shared" si="36"/>
        <v/>
      </c>
    </row>
    <row r="1946" spans="5:8">
      <c r="E1946" s="25" t="str">
        <f>IFERROR(VLOOKUP($B1946,テーブル12[],2,FALSE),"")</f>
        <v/>
      </c>
      <c r="F1946" s="25" t="str">
        <f>IFERROR(VLOOKUP($B1946,テーブル12[],3,FALSE),"")</f>
        <v/>
      </c>
      <c r="G1946" s="31" t="str">
        <f>IFERROR(VLOOKUP($B1946,テーブル12[],4,FALSE),"")</f>
        <v/>
      </c>
      <c r="H1946" s="25" t="str">
        <f t="shared" si="36"/>
        <v/>
      </c>
    </row>
    <row r="1947" spans="5:8">
      <c r="E1947" s="25" t="str">
        <f>IFERROR(VLOOKUP($B1947,テーブル12[],2,FALSE),"")</f>
        <v/>
      </c>
      <c r="F1947" s="25" t="str">
        <f>IFERROR(VLOOKUP($B1947,テーブル12[],3,FALSE),"")</f>
        <v/>
      </c>
      <c r="G1947" s="31" t="str">
        <f>IFERROR(VLOOKUP($B1947,テーブル12[],4,FALSE),"")</f>
        <v/>
      </c>
      <c r="H1947" s="25" t="str">
        <f t="shared" si="36"/>
        <v/>
      </c>
    </row>
    <row r="1948" spans="5:8">
      <c r="E1948" s="25" t="str">
        <f>IFERROR(VLOOKUP($B1948,テーブル12[],2,FALSE),"")</f>
        <v/>
      </c>
      <c r="F1948" s="25" t="str">
        <f>IFERROR(VLOOKUP($B1948,テーブル12[],3,FALSE),"")</f>
        <v/>
      </c>
      <c r="G1948" s="31" t="str">
        <f>IFERROR(VLOOKUP($B1948,テーブル12[],4,FALSE),"")</f>
        <v/>
      </c>
      <c r="H1948" s="25" t="str">
        <f t="shared" si="36"/>
        <v/>
      </c>
    </row>
    <row r="1949" spans="5:8">
      <c r="E1949" s="25" t="str">
        <f>IFERROR(VLOOKUP($B1949,テーブル12[],2,FALSE),"")</f>
        <v/>
      </c>
      <c r="F1949" s="25" t="str">
        <f>IFERROR(VLOOKUP($B1949,テーブル12[],3,FALSE),"")</f>
        <v/>
      </c>
      <c r="G1949" s="31" t="str">
        <f>IFERROR(VLOOKUP($B1949,テーブル12[],4,FALSE),"")</f>
        <v/>
      </c>
      <c r="H1949" s="25" t="str">
        <f t="shared" si="36"/>
        <v/>
      </c>
    </row>
    <row r="1950" spans="5:8">
      <c r="E1950" s="25" t="str">
        <f>IFERROR(VLOOKUP($B1950,テーブル12[],2,FALSE),"")</f>
        <v/>
      </c>
      <c r="F1950" s="25" t="str">
        <f>IFERROR(VLOOKUP($B1950,テーブル12[],3,FALSE),"")</f>
        <v/>
      </c>
      <c r="G1950" s="31" t="str">
        <f>IFERROR(VLOOKUP($B1950,テーブル12[],4,FALSE),"")</f>
        <v/>
      </c>
      <c r="H1950" s="25" t="str">
        <f t="shared" si="36"/>
        <v/>
      </c>
    </row>
    <row r="1951" spans="5:8">
      <c r="E1951" s="25" t="str">
        <f>IFERROR(VLOOKUP($B1951,テーブル12[],2,FALSE),"")</f>
        <v/>
      </c>
      <c r="F1951" s="25" t="str">
        <f>IFERROR(VLOOKUP($B1951,テーブル12[],3,FALSE),"")</f>
        <v/>
      </c>
      <c r="G1951" s="31" t="str">
        <f>IFERROR(VLOOKUP($B1951,テーブル12[],4,FALSE),"")</f>
        <v/>
      </c>
      <c r="H1951" s="25" t="str">
        <f t="shared" si="36"/>
        <v/>
      </c>
    </row>
    <row r="1952" spans="5:8">
      <c r="E1952" s="25" t="str">
        <f>IFERROR(VLOOKUP($B1952,テーブル12[],2,FALSE),"")</f>
        <v/>
      </c>
      <c r="F1952" s="25" t="str">
        <f>IFERROR(VLOOKUP($B1952,テーブル12[],3,FALSE),"")</f>
        <v/>
      </c>
      <c r="G1952" s="31" t="str">
        <f>IFERROR(VLOOKUP($B1952,テーブル12[],4,FALSE),"")</f>
        <v/>
      </c>
      <c r="H1952" s="25" t="str">
        <f t="shared" si="36"/>
        <v/>
      </c>
    </row>
    <row r="1953" spans="5:8">
      <c r="E1953" s="25" t="str">
        <f>IFERROR(VLOOKUP($B1953,テーブル12[],2,FALSE),"")</f>
        <v/>
      </c>
      <c r="F1953" s="25" t="str">
        <f>IFERROR(VLOOKUP($B1953,テーブル12[],3,FALSE),"")</f>
        <v/>
      </c>
      <c r="G1953" s="31" t="str">
        <f>IFERROR(VLOOKUP($B1953,テーブル12[],4,FALSE),"")</f>
        <v/>
      </c>
      <c r="H1953" s="25" t="str">
        <f t="shared" si="36"/>
        <v/>
      </c>
    </row>
    <row r="1954" spans="5:8">
      <c r="E1954" s="25" t="str">
        <f>IFERROR(VLOOKUP($B1954,テーブル12[],2,FALSE),"")</f>
        <v/>
      </c>
      <c r="F1954" s="25" t="str">
        <f>IFERROR(VLOOKUP($B1954,テーブル12[],3,FALSE),"")</f>
        <v/>
      </c>
      <c r="G1954" s="31" t="str">
        <f>IFERROR(VLOOKUP($B1954,テーブル12[],4,FALSE),"")</f>
        <v/>
      </c>
      <c r="H1954" s="25" t="str">
        <f t="shared" si="36"/>
        <v/>
      </c>
    </row>
    <row r="1955" spans="5:8">
      <c r="E1955" s="25" t="str">
        <f>IFERROR(VLOOKUP($B1955,テーブル12[],2,FALSE),"")</f>
        <v/>
      </c>
      <c r="F1955" s="25" t="str">
        <f>IFERROR(VLOOKUP($B1955,テーブル12[],3,FALSE),"")</f>
        <v/>
      </c>
      <c r="G1955" s="31" t="str">
        <f>IFERROR(VLOOKUP($B1955,テーブル12[],4,FALSE),"")</f>
        <v/>
      </c>
      <c r="H1955" s="25" t="str">
        <f t="shared" si="36"/>
        <v/>
      </c>
    </row>
    <row r="1956" spans="5:8">
      <c r="E1956" s="25" t="str">
        <f>IFERROR(VLOOKUP($B1956,テーブル12[],2,FALSE),"")</f>
        <v/>
      </c>
      <c r="F1956" s="25" t="str">
        <f>IFERROR(VLOOKUP($B1956,テーブル12[],3,FALSE),"")</f>
        <v/>
      </c>
      <c r="G1956" s="31" t="str">
        <f>IFERROR(VLOOKUP($B1956,テーブル12[],4,FALSE),"")</f>
        <v/>
      </c>
      <c r="H1956" s="25" t="str">
        <f t="shared" si="36"/>
        <v/>
      </c>
    </row>
    <row r="1957" spans="5:8">
      <c r="E1957" s="25" t="str">
        <f>IFERROR(VLOOKUP($B1957,テーブル12[],2,FALSE),"")</f>
        <v/>
      </c>
      <c r="F1957" s="25" t="str">
        <f>IFERROR(VLOOKUP($B1957,テーブル12[],3,FALSE),"")</f>
        <v/>
      </c>
      <c r="G1957" s="31" t="str">
        <f>IFERROR(VLOOKUP($B1957,テーブル12[],4,FALSE),"")</f>
        <v/>
      </c>
      <c r="H1957" s="25" t="str">
        <f t="shared" si="36"/>
        <v/>
      </c>
    </row>
    <row r="1958" spans="5:8">
      <c r="E1958" s="25" t="str">
        <f>IFERROR(VLOOKUP($B1958,テーブル12[],2,FALSE),"")</f>
        <v/>
      </c>
      <c r="F1958" s="25" t="str">
        <f>IFERROR(VLOOKUP($B1958,テーブル12[],3,FALSE),"")</f>
        <v/>
      </c>
      <c r="G1958" s="31" t="str">
        <f>IFERROR(VLOOKUP($B1958,テーブル12[],4,FALSE),"")</f>
        <v/>
      </c>
      <c r="H1958" s="25" t="str">
        <f t="shared" si="36"/>
        <v/>
      </c>
    </row>
    <row r="1959" spans="5:8">
      <c r="E1959" s="25" t="str">
        <f>IFERROR(VLOOKUP($B1959,テーブル12[],2,FALSE),"")</f>
        <v/>
      </c>
      <c r="F1959" s="25" t="str">
        <f>IFERROR(VLOOKUP($B1959,テーブル12[],3,FALSE),"")</f>
        <v/>
      </c>
      <c r="G1959" s="31" t="str">
        <f>IFERROR(VLOOKUP($B1959,テーブル12[],4,FALSE),"")</f>
        <v/>
      </c>
      <c r="H1959" s="25" t="str">
        <f t="shared" si="36"/>
        <v/>
      </c>
    </row>
    <row r="1960" spans="5:8">
      <c r="E1960" s="25" t="str">
        <f>IFERROR(VLOOKUP($B1960,テーブル12[],2,FALSE),"")</f>
        <v/>
      </c>
      <c r="F1960" s="25" t="str">
        <f>IFERROR(VLOOKUP($B1960,テーブル12[],3,FALSE),"")</f>
        <v/>
      </c>
      <c r="G1960" s="31" t="str">
        <f>IFERROR(VLOOKUP($B1960,テーブル12[],4,FALSE),"")</f>
        <v/>
      </c>
      <c r="H1960" s="25" t="str">
        <f t="shared" si="36"/>
        <v/>
      </c>
    </row>
    <row r="1961" spans="5:8">
      <c r="E1961" s="25" t="str">
        <f>IFERROR(VLOOKUP($B1961,テーブル12[],2,FALSE),"")</f>
        <v/>
      </c>
      <c r="F1961" s="25" t="str">
        <f>IFERROR(VLOOKUP($B1961,テーブル12[],3,FALSE),"")</f>
        <v/>
      </c>
      <c r="G1961" s="31" t="str">
        <f>IFERROR(VLOOKUP($B1961,テーブル12[],4,FALSE),"")</f>
        <v/>
      </c>
      <c r="H1961" s="25" t="str">
        <f t="shared" si="36"/>
        <v/>
      </c>
    </row>
    <row r="1962" spans="5:8">
      <c r="E1962" s="25" t="str">
        <f>IFERROR(VLOOKUP($B1962,テーブル12[],2,FALSE),"")</f>
        <v/>
      </c>
      <c r="F1962" s="25" t="str">
        <f>IFERROR(VLOOKUP($B1962,テーブル12[],3,FALSE),"")</f>
        <v/>
      </c>
      <c r="G1962" s="31" t="str">
        <f>IFERROR(VLOOKUP($B1962,テーブル12[],4,FALSE),"")</f>
        <v/>
      </c>
      <c r="H1962" s="25" t="str">
        <f t="shared" si="36"/>
        <v/>
      </c>
    </row>
    <row r="1963" spans="5:8">
      <c r="E1963" s="25" t="str">
        <f>IFERROR(VLOOKUP($B1963,テーブル12[],2,FALSE),"")</f>
        <v/>
      </c>
      <c r="F1963" s="25" t="str">
        <f>IFERROR(VLOOKUP($B1963,テーブル12[],3,FALSE),"")</f>
        <v/>
      </c>
      <c r="G1963" s="31" t="str">
        <f>IFERROR(VLOOKUP($B1963,テーブル12[],4,FALSE),"")</f>
        <v/>
      </c>
      <c r="H1963" s="25" t="str">
        <f t="shared" si="36"/>
        <v/>
      </c>
    </row>
    <row r="1964" spans="5:8">
      <c r="E1964" s="25" t="str">
        <f>IFERROR(VLOOKUP($B1964,テーブル12[],2,FALSE),"")</f>
        <v/>
      </c>
      <c r="F1964" s="25" t="str">
        <f>IFERROR(VLOOKUP($B1964,テーブル12[],3,FALSE),"")</f>
        <v/>
      </c>
      <c r="G1964" s="31" t="str">
        <f>IFERROR(VLOOKUP($B1964,テーブル12[],4,FALSE),"")</f>
        <v/>
      </c>
      <c r="H1964" s="25" t="str">
        <f t="shared" si="36"/>
        <v/>
      </c>
    </row>
    <row r="1965" spans="5:8">
      <c r="E1965" s="25" t="str">
        <f>IFERROR(VLOOKUP($B1965,テーブル12[],2,FALSE),"")</f>
        <v/>
      </c>
      <c r="F1965" s="25" t="str">
        <f>IFERROR(VLOOKUP($B1965,テーブル12[],3,FALSE),"")</f>
        <v/>
      </c>
      <c r="G1965" s="31" t="str">
        <f>IFERROR(VLOOKUP($B1965,テーブル12[],4,FALSE),"")</f>
        <v/>
      </c>
      <c r="H1965" s="25" t="str">
        <f t="shared" si="36"/>
        <v/>
      </c>
    </row>
    <row r="1966" spans="5:8">
      <c r="E1966" s="25" t="str">
        <f>IFERROR(VLOOKUP($B1966,テーブル12[],2,FALSE),"")</f>
        <v/>
      </c>
      <c r="F1966" s="25" t="str">
        <f>IFERROR(VLOOKUP($B1966,テーブル12[],3,FALSE),"")</f>
        <v/>
      </c>
      <c r="G1966" s="31" t="str">
        <f>IFERROR(VLOOKUP($B1966,テーブル12[],4,FALSE),"")</f>
        <v/>
      </c>
      <c r="H1966" s="25" t="str">
        <f t="shared" si="36"/>
        <v/>
      </c>
    </row>
    <row r="1967" spans="5:8">
      <c r="E1967" s="25" t="str">
        <f>IFERROR(VLOOKUP($B1967,テーブル12[],2,FALSE),"")</f>
        <v/>
      </c>
      <c r="F1967" s="25" t="str">
        <f>IFERROR(VLOOKUP($B1967,テーブル12[],3,FALSE),"")</f>
        <v/>
      </c>
      <c r="G1967" s="31" t="str">
        <f>IFERROR(VLOOKUP($B1967,テーブル12[],4,FALSE),"")</f>
        <v/>
      </c>
      <c r="H1967" s="25" t="str">
        <f t="shared" si="36"/>
        <v/>
      </c>
    </row>
    <row r="1968" spans="5:8">
      <c r="E1968" s="25" t="str">
        <f>IFERROR(VLOOKUP($B1968,テーブル12[],2,FALSE),"")</f>
        <v/>
      </c>
      <c r="F1968" s="25" t="str">
        <f>IFERROR(VLOOKUP($B1968,テーブル12[],3,FALSE),"")</f>
        <v/>
      </c>
      <c r="G1968" s="31" t="str">
        <f>IFERROR(VLOOKUP($B1968,テーブル12[],4,FALSE),"")</f>
        <v/>
      </c>
      <c r="H1968" s="25" t="str">
        <f t="shared" si="36"/>
        <v/>
      </c>
    </row>
    <row r="1969" spans="5:8">
      <c r="E1969" s="25" t="str">
        <f>IFERROR(VLOOKUP($B1969,テーブル12[],2,FALSE),"")</f>
        <v/>
      </c>
      <c r="F1969" s="25" t="str">
        <f>IFERROR(VLOOKUP($B1969,テーブル12[],3,FALSE),"")</f>
        <v/>
      </c>
      <c r="G1969" s="31" t="str">
        <f>IFERROR(VLOOKUP($B1969,テーブル12[],4,FALSE),"")</f>
        <v/>
      </c>
      <c r="H1969" s="25" t="str">
        <f t="shared" si="36"/>
        <v/>
      </c>
    </row>
    <row r="1970" spans="5:8">
      <c r="E1970" s="25" t="str">
        <f>IFERROR(VLOOKUP($B1970,テーブル12[],2,FALSE),"")</f>
        <v/>
      </c>
      <c r="F1970" s="25" t="str">
        <f>IFERROR(VLOOKUP($B1970,テーブル12[],3,FALSE),"")</f>
        <v/>
      </c>
      <c r="G1970" s="31" t="str">
        <f>IFERROR(VLOOKUP($B1970,テーブル12[],4,FALSE),"")</f>
        <v/>
      </c>
      <c r="H1970" s="25" t="str">
        <f t="shared" si="36"/>
        <v/>
      </c>
    </row>
    <row r="1971" spans="5:8">
      <c r="E1971" s="25" t="str">
        <f>IFERROR(VLOOKUP($B1971,テーブル12[],2,FALSE),"")</f>
        <v/>
      </c>
      <c r="F1971" s="25" t="str">
        <f>IFERROR(VLOOKUP($B1971,テーブル12[],3,FALSE),"")</f>
        <v/>
      </c>
      <c r="G1971" s="31" t="str">
        <f>IFERROR(VLOOKUP($B1971,テーブル12[],4,FALSE),"")</f>
        <v/>
      </c>
      <c r="H1971" s="25" t="str">
        <f t="shared" si="36"/>
        <v/>
      </c>
    </row>
    <row r="1972" spans="5:8">
      <c r="E1972" s="25" t="str">
        <f>IFERROR(VLOOKUP($B1972,テーブル12[],2,FALSE),"")</f>
        <v/>
      </c>
      <c r="F1972" s="25" t="str">
        <f>IFERROR(VLOOKUP($B1972,テーブル12[],3,FALSE),"")</f>
        <v/>
      </c>
      <c r="G1972" s="31" t="str">
        <f>IFERROR(VLOOKUP($B1972,テーブル12[],4,FALSE),"")</f>
        <v/>
      </c>
      <c r="H1972" s="25" t="str">
        <f t="shared" si="36"/>
        <v/>
      </c>
    </row>
    <row r="1973" spans="5:8">
      <c r="E1973" s="25" t="str">
        <f>IFERROR(VLOOKUP($B1973,テーブル12[],2,FALSE),"")</f>
        <v/>
      </c>
      <c r="F1973" s="25" t="str">
        <f>IFERROR(VLOOKUP($B1973,テーブル12[],3,FALSE),"")</f>
        <v/>
      </c>
      <c r="G1973" s="31" t="str">
        <f>IFERROR(VLOOKUP($B1973,テーブル12[],4,FALSE),"")</f>
        <v/>
      </c>
      <c r="H1973" s="25" t="str">
        <f t="shared" si="36"/>
        <v/>
      </c>
    </row>
    <row r="1974" spans="5:8">
      <c r="E1974" s="25" t="str">
        <f>IFERROR(VLOOKUP($B1974,テーブル12[],2,FALSE),"")</f>
        <v/>
      </c>
      <c r="F1974" s="25" t="str">
        <f>IFERROR(VLOOKUP($B1974,テーブル12[],3,FALSE),"")</f>
        <v/>
      </c>
      <c r="G1974" s="31" t="str">
        <f>IFERROR(VLOOKUP($B1974,テーブル12[],4,FALSE),"")</f>
        <v/>
      </c>
      <c r="H1974" s="25" t="str">
        <f t="shared" si="36"/>
        <v/>
      </c>
    </row>
    <row r="1975" spans="5:8">
      <c r="E1975" s="25" t="str">
        <f>IFERROR(VLOOKUP($B1975,テーブル12[],2,FALSE),"")</f>
        <v/>
      </c>
      <c r="F1975" s="25" t="str">
        <f>IFERROR(VLOOKUP($B1975,テーブル12[],3,FALSE),"")</f>
        <v/>
      </c>
      <c r="G1975" s="31" t="str">
        <f>IFERROR(VLOOKUP($B1975,テーブル12[],4,FALSE),"")</f>
        <v/>
      </c>
      <c r="H1975" s="25" t="str">
        <f t="shared" si="36"/>
        <v/>
      </c>
    </row>
    <row r="1976" spans="5:8">
      <c r="E1976" s="25" t="str">
        <f>IFERROR(VLOOKUP($B1976,テーブル12[],2,FALSE),"")</f>
        <v/>
      </c>
      <c r="F1976" s="25" t="str">
        <f>IFERROR(VLOOKUP($B1976,テーブル12[],3,FALSE),"")</f>
        <v/>
      </c>
      <c r="G1976" s="31" t="str">
        <f>IFERROR(VLOOKUP($B1976,テーブル12[],4,FALSE),"")</f>
        <v/>
      </c>
      <c r="H1976" s="25" t="str">
        <f t="shared" si="36"/>
        <v/>
      </c>
    </row>
    <row r="1977" spans="5:8">
      <c r="E1977" s="25" t="str">
        <f>IFERROR(VLOOKUP($B1977,テーブル12[],2,FALSE),"")</f>
        <v/>
      </c>
      <c r="F1977" s="25" t="str">
        <f>IFERROR(VLOOKUP($B1977,テーブル12[],3,FALSE),"")</f>
        <v/>
      </c>
      <c r="G1977" s="31" t="str">
        <f>IFERROR(VLOOKUP($B1977,テーブル12[],4,FALSE),"")</f>
        <v/>
      </c>
      <c r="H1977" s="25" t="str">
        <f t="shared" si="36"/>
        <v/>
      </c>
    </row>
    <row r="1978" spans="5:8">
      <c r="E1978" s="25" t="str">
        <f>IFERROR(VLOOKUP($B1978,テーブル12[],2,FALSE),"")</f>
        <v/>
      </c>
      <c r="F1978" s="25" t="str">
        <f>IFERROR(VLOOKUP($B1978,テーブル12[],3,FALSE),"")</f>
        <v/>
      </c>
      <c r="G1978" s="31" t="str">
        <f>IFERROR(VLOOKUP($B1978,テーブル12[],4,FALSE),"")</f>
        <v/>
      </c>
      <c r="H1978" s="25" t="str">
        <f t="shared" si="36"/>
        <v/>
      </c>
    </row>
    <row r="1979" spans="5:8">
      <c r="E1979" s="25" t="str">
        <f>IFERROR(VLOOKUP($B1979,テーブル12[],2,FALSE),"")</f>
        <v/>
      </c>
      <c r="F1979" s="25" t="str">
        <f>IFERROR(VLOOKUP($B1979,テーブル12[],3,FALSE),"")</f>
        <v/>
      </c>
      <c r="G1979" s="31" t="str">
        <f>IFERROR(VLOOKUP($B1979,テーブル12[],4,FALSE),"")</f>
        <v/>
      </c>
      <c r="H1979" s="25" t="str">
        <f t="shared" si="36"/>
        <v/>
      </c>
    </row>
    <row r="1980" spans="5:8">
      <c r="E1980" s="25" t="str">
        <f>IFERROR(VLOOKUP($B1980,テーブル12[],2,FALSE),"")</f>
        <v/>
      </c>
      <c r="F1980" s="25" t="str">
        <f>IFERROR(VLOOKUP($B1980,テーブル12[],3,FALSE),"")</f>
        <v/>
      </c>
      <c r="G1980" s="31" t="str">
        <f>IFERROR(VLOOKUP($B1980,テーブル12[],4,FALSE),"")</f>
        <v/>
      </c>
      <c r="H1980" s="25" t="str">
        <f t="shared" si="36"/>
        <v/>
      </c>
    </row>
    <row r="1981" spans="5:8">
      <c r="E1981" s="25" t="str">
        <f>IFERROR(VLOOKUP($B1981,テーブル12[],2,FALSE),"")</f>
        <v/>
      </c>
      <c r="F1981" s="25" t="str">
        <f>IFERROR(VLOOKUP($B1981,テーブル12[],3,FALSE),"")</f>
        <v/>
      </c>
      <c r="G1981" s="31" t="str">
        <f>IFERROR(VLOOKUP($B1981,テーブル12[],4,FALSE),"")</f>
        <v/>
      </c>
      <c r="H1981" s="25" t="str">
        <f t="shared" si="36"/>
        <v/>
      </c>
    </row>
    <row r="1982" spans="5:8">
      <c r="E1982" s="25" t="str">
        <f>IFERROR(VLOOKUP($B1982,テーブル12[],2,FALSE),"")</f>
        <v/>
      </c>
      <c r="F1982" s="25" t="str">
        <f>IFERROR(VLOOKUP($B1982,テーブル12[],3,FALSE),"")</f>
        <v/>
      </c>
      <c r="G1982" s="31" t="str">
        <f>IFERROR(VLOOKUP($B1982,テーブル12[],4,FALSE),"")</f>
        <v/>
      </c>
      <c r="H1982" s="25" t="str">
        <f t="shared" si="36"/>
        <v/>
      </c>
    </row>
    <row r="1983" spans="5:8">
      <c r="E1983" s="25" t="str">
        <f>IFERROR(VLOOKUP($B1983,テーブル12[],2,FALSE),"")</f>
        <v/>
      </c>
      <c r="F1983" s="25" t="str">
        <f>IFERROR(VLOOKUP($B1983,テーブル12[],3,FALSE),"")</f>
        <v/>
      </c>
      <c r="G1983" s="31" t="str">
        <f>IFERROR(VLOOKUP($B1983,テーブル12[],4,FALSE),"")</f>
        <v/>
      </c>
      <c r="H1983" s="25" t="str">
        <f t="shared" si="36"/>
        <v/>
      </c>
    </row>
    <row r="1984" spans="5:8">
      <c r="E1984" s="25" t="str">
        <f>IFERROR(VLOOKUP($B1984,テーブル12[],2,FALSE),"")</f>
        <v/>
      </c>
      <c r="F1984" s="25" t="str">
        <f>IFERROR(VLOOKUP($B1984,テーブル12[],3,FALSE),"")</f>
        <v/>
      </c>
      <c r="G1984" s="31" t="str">
        <f>IFERROR(VLOOKUP($B1984,テーブル12[],4,FALSE),"")</f>
        <v/>
      </c>
      <c r="H1984" s="25" t="str">
        <f t="shared" si="36"/>
        <v/>
      </c>
    </row>
    <row r="1985" spans="5:8">
      <c r="E1985" s="25" t="str">
        <f>IFERROR(VLOOKUP($B1985,テーブル12[],2,FALSE),"")</f>
        <v/>
      </c>
      <c r="F1985" s="25" t="str">
        <f>IFERROR(VLOOKUP($B1985,テーブル12[],3,FALSE),"")</f>
        <v/>
      </c>
      <c r="G1985" s="31" t="str">
        <f>IFERROR(VLOOKUP($B1985,テーブル12[],4,FALSE),"")</f>
        <v/>
      </c>
      <c r="H1985" s="25" t="str">
        <f t="shared" si="36"/>
        <v/>
      </c>
    </row>
    <row r="1986" spans="5:8">
      <c r="E1986" s="25" t="str">
        <f>IFERROR(VLOOKUP($B1986,テーブル12[],2,FALSE),"")</f>
        <v/>
      </c>
      <c r="F1986" s="25" t="str">
        <f>IFERROR(VLOOKUP($B1986,テーブル12[],3,FALSE),"")</f>
        <v/>
      </c>
      <c r="G1986" s="31" t="str">
        <f>IFERROR(VLOOKUP($B1986,テーブル12[],4,FALSE),"")</f>
        <v/>
      </c>
      <c r="H1986" s="25" t="str">
        <f t="shared" ref="H1986:H2000" si="37">IF(C1986=0,"",C1986)</f>
        <v/>
      </c>
    </row>
    <row r="1987" spans="5:8">
      <c r="E1987" s="25" t="str">
        <f>IFERROR(VLOOKUP($B1987,テーブル12[],2,FALSE),"")</f>
        <v/>
      </c>
      <c r="F1987" s="25" t="str">
        <f>IFERROR(VLOOKUP($B1987,テーブル12[],3,FALSE),"")</f>
        <v/>
      </c>
      <c r="G1987" s="31" t="str">
        <f>IFERROR(VLOOKUP($B1987,テーブル12[],4,FALSE),"")</f>
        <v/>
      </c>
      <c r="H1987" s="25" t="str">
        <f t="shared" si="37"/>
        <v/>
      </c>
    </row>
    <row r="1988" spans="5:8">
      <c r="E1988" s="25" t="str">
        <f>IFERROR(VLOOKUP($B1988,テーブル12[],2,FALSE),"")</f>
        <v/>
      </c>
      <c r="F1988" s="25" t="str">
        <f>IFERROR(VLOOKUP($B1988,テーブル12[],3,FALSE),"")</f>
        <v/>
      </c>
      <c r="G1988" s="31" t="str">
        <f>IFERROR(VLOOKUP($B1988,テーブル12[],4,FALSE),"")</f>
        <v/>
      </c>
      <c r="H1988" s="25" t="str">
        <f t="shared" si="37"/>
        <v/>
      </c>
    </row>
    <row r="1989" spans="5:8">
      <c r="E1989" s="25" t="str">
        <f>IFERROR(VLOOKUP($B1989,テーブル12[],2,FALSE),"")</f>
        <v/>
      </c>
      <c r="F1989" s="25" t="str">
        <f>IFERROR(VLOOKUP($B1989,テーブル12[],3,FALSE),"")</f>
        <v/>
      </c>
      <c r="G1989" s="31" t="str">
        <f>IFERROR(VLOOKUP($B1989,テーブル12[],4,FALSE),"")</f>
        <v/>
      </c>
      <c r="H1989" s="25" t="str">
        <f t="shared" si="37"/>
        <v/>
      </c>
    </row>
    <row r="1990" spans="5:8">
      <c r="E1990" s="25" t="str">
        <f>IFERROR(VLOOKUP($B1990,テーブル12[],2,FALSE),"")</f>
        <v/>
      </c>
      <c r="F1990" s="25" t="str">
        <f>IFERROR(VLOOKUP($B1990,テーブル12[],3,FALSE),"")</f>
        <v/>
      </c>
      <c r="G1990" s="31" t="str">
        <f>IFERROR(VLOOKUP($B1990,テーブル12[],4,FALSE),"")</f>
        <v/>
      </c>
      <c r="H1990" s="25" t="str">
        <f t="shared" si="37"/>
        <v/>
      </c>
    </row>
    <row r="1991" spans="5:8">
      <c r="E1991" s="25" t="str">
        <f>IFERROR(VLOOKUP($B1991,テーブル12[],2,FALSE),"")</f>
        <v/>
      </c>
      <c r="F1991" s="25" t="str">
        <f>IFERROR(VLOOKUP($B1991,テーブル12[],3,FALSE),"")</f>
        <v/>
      </c>
      <c r="G1991" s="31" t="str">
        <f>IFERROR(VLOOKUP($B1991,テーブル12[],4,FALSE),"")</f>
        <v/>
      </c>
      <c r="H1991" s="25" t="str">
        <f t="shared" si="37"/>
        <v/>
      </c>
    </row>
    <row r="1992" spans="5:8">
      <c r="E1992" s="25" t="str">
        <f>IFERROR(VLOOKUP($B1992,テーブル12[],2,FALSE),"")</f>
        <v/>
      </c>
      <c r="F1992" s="25" t="str">
        <f>IFERROR(VLOOKUP($B1992,テーブル12[],3,FALSE),"")</f>
        <v/>
      </c>
      <c r="G1992" s="31" t="str">
        <f>IFERROR(VLOOKUP($B1992,テーブル12[],4,FALSE),"")</f>
        <v/>
      </c>
      <c r="H1992" s="25" t="str">
        <f t="shared" si="37"/>
        <v/>
      </c>
    </row>
    <row r="1993" spans="5:8">
      <c r="E1993" s="25" t="str">
        <f>IFERROR(VLOOKUP($B1993,テーブル12[],2,FALSE),"")</f>
        <v/>
      </c>
      <c r="F1993" s="25" t="str">
        <f>IFERROR(VLOOKUP($B1993,テーブル12[],3,FALSE),"")</f>
        <v/>
      </c>
      <c r="G1993" s="31" t="str">
        <f>IFERROR(VLOOKUP($B1993,テーブル12[],4,FALSE),"")</f>
        <v/>
      </c>
      <c r="H1993" s="25" t="str">
        <f t="shared" si="37"/>
        <v/>
      </c>
    </row>
    <row r="1994" spans="5:8">
      <c r="E1994" s="25" t="str">
        <f>IFERROR(VLOOKUP($B1994,テーブル12[],2,FALSE),"")</f>
        <v/>
      </c>
      <c r="F1994" s="25" t="str">
        <f>IFERROR(VLOOKUP($B1994,テーブル12[],3,FALSE),"")</f>
        <v/>
      </c>
      <c r="G1994" s="31" t="str">
        <f>IFERROR(VLOOKUP($B1994,テーブル12[],4,FALSE),"")</f>
        <v/>
      </c>
      <c r="H1994" s="25" t="str">
        <f t="shared" si="37"/>
        <v/>
      </c>
    </row>
    <row r="1995" spans="5:8">
      <c r="E1995" s="25" t="str">
        <f>IFERROR(VLOOKUP($B1995,テーブル12[],2,FALSE),"")</f>
        <v/>
      </c>
      <c r="F1995" s="25" t="str">
        <f>IFERROR(VLOOKUP($B1995,テーブル12[],3,FALSE),"")</f>
        <v/>
      </c>
      <c r="G1995" s="31" t="str">
        <f>IFERROR(VLOOKUP($B1995,テーブル12[],4,FALSE),"")</f>
        <v/>
      </c>
      <c r="H1995" s="25" t="str">
        <f t="shared" si="37"/>
        <v/>
      </c>
    </row>
    <row r="1996" spans="5:8">
      <c r="E1996" s="25" t="str">
        <f>IFERROR(VLOOKUP($B1996,テーブル12[],2,FALSE),"")</f>
        <v/>
      </c>
      <c r="F1996" s="25" t="str">
        <f>IFERROR(VLOOKUP($B1996,テーブル12[],3,FALSE),"")</f>
        <v/>
      </c>
      <c r="G1996" s="31" t="str">
        <f>IFERROR(VLOOKUP($B1996,テーブル12[],4,FALSE),"")</f>
        <v/>
      </c>
      <c r="H1996" s="25" t="str">
        <f t="shared" si="37"/>
        <v/>
      </c>
    </row>
    <row r="1997" spans="5:8">
      <c r="E1997" s="25" t="str">
        <f>IFERROR(VLOOKUP($B1997,テーブル12[],2,FALSE),"")</f>
        <v/>
      </c>
      <c r="F1997" s="25" t="str">
        <f>IFERROR(VLOOKUP($B1997,テーブル12[],3,FALSE),"")</f>
        <v/>
      </c>
      <c r="G1997" s="31" t="str">
        <f>IFERROR(VLOOKUP($B1997,テーブル12[],4,FALSE),"")</f>
        <v/>
      </c>
      <c r="H1997" s="25" t="str">
        <f t="shared" si="37"/>
        <v/>
      </c>
    </row>
    <row r="1998" spans="5:8">
      <c r="E1998" s="25" t="str">
        <f>IFERROR(VLOOKUP($B1998,テーブル12[],2,FALSE),"")</f>
        <v/>
      </c>
      <c r="F1998" s="25" t="str">
        <f>IFERROR(VLOOKUP($B1998,テーブル12[],3,FALSE),"")</f>
        <v/>
      </c>
      <c r="G1998" s="31" t="str">
        <f>IFERROR(VLOOKUP($B1998,テーブル12[],4,FALSE),"")</f>
        <v/>
      </c>
      <c r="H1998" s="25" t="str">
        <f t="shared" si="37"/>
        <v/>
      </c>
    </row>
    <row r="1999" spans="5:8">
      <c r="E1999" s="25" t="str">
        <f>IFERROR(VLOOKUP($B1999,テーブル12[],2,FALSE),"")</f>
        <v/>
      </c>
      <c r="F1999" s="25" t="str">
        <f>IFERROR(VLOOKUP($B1999,テーブル12[],3,FALSE),"")</f>
        <v/>
      </c>
      <c r="G1999" s="31" t="str">
        <f>IFERROR(VLOOKUP($B1999,テーブル12[],4,FALSE),"")</f>
        <v/>
      </c>
      <c r="H1999" s="25" t="str">
        <f t="shared" si="37"/>
        <v/>
      </c>
    </row>
    <row r="2000" spans="5:8">
      <c r="E2000" s="25" t="str">
        <f>IFERROR(VLOOKUP($B2000,テーブル12[],2,FALSE),"")</f>
        <v/>
      </c>
      <c r="F2000" s="25" t="str">
        <f>IFERROR(VLOOKUP($B2000,テーブル12[],3,FALSE),"")</f>
        <v/>
      </c>
      <c r="G2000" s="31" t="str">
        <f>IFERROR(VLOOKUP($B2000,テーブル12[],4,FALSE),"")</f>
        <v/>
      </c>
      <c r="H2000" s="25" t="str">
        <f t="shared" si="37"/>
        <v/>
      </c>
    </row>
  </sheetData>
  <sheetProtection algorithmName="SHA-512" hashValue="mqONiC7XRkZ145+JeGw+uwuTSsJ3fEbYzumvc1xcYOJZi9k29DwUm/moEDorowVG/1tmyyePJsjgqiQd8REdmg==" saltValue="3Ul5/8usT4+ECK6fHGIsPw==" spinCount="100000" sheet="1" objects="1" scenarios="1"/>
  <protectedRanges>
    <protectedRange sqref="A2:C1048576" name="入力"/>
  </protectedRanges>
  <sortState ref="A2:I2000">
    <sortCondition ref="A2"/>
    <sortCondition ref="B2"/>
  </sortState>
  <phoneticPr fontId="2"/>
  <dataValidations count="2">
    <dataValidation type="whole" operator="greaterThanOrEqual" allowBlank="1" showInputMessage="1" showErrorMessage="1" sqref="A3:A8 A9:A1048576 C1 C3:C8 C9:C1048576 A1" xr:uid="{512E13FB-0BC4-4442-94A7-1D0EC7E68970}">
      <formula1>0</formula1>
    </dataValidation>
    <dataValidation type="whole" operator="greaterThanOrEqual" allowBlank="1" showInputMessage="1" showErrorMessage="1" sqref="B3:C8 B9:C1048576 B1:C1" xr:uid="{6D16056B-CBFC-4668-A572-C295555E5725}">
      <formula1>100</formula1>
    </dataValidation>
  </dataValidations>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0000000}">
          <x14:formula1>
            <xm:f>data!$B$2:$B$86</xm:f>
          </x14:formula1>
          <xm:sqref>D1661:D1048576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I86"/>
  <sheetViews>
    <sheetView showGridLines="0" workbookViewId="0">
      <selection activeCell="E5" sqref="E5"/>
    </sheetView>
  </sheetViews>
  <sheetFormatPr defaultRowHeight="13"/>
  <cols>
    <col min="1" max="1" width="8.90625" customWidth="1"/>
    <col min="2" max="2" width="42.08984375" bestFit="1" customWidth="1"/>
    <col min="4" max="4" width="8.90625" customWidth="1"/>
    <col min="5" max="5" width="11.36328125" bestFit="1" customWidth="1"/>
    <col min="6" max="6" width="38.7265625" bestFit="1" customWidth="1"/>
    <col min="7" max="7" width="13.453125" bestFit="1" customWidth="1"/>
  </cols>
  <sheetData>
    <row r="1" spans="1:9" ht="18">
      <c r="A1" t="s">
        <v>11</v>
      </c>
      <c r="B1" s="3" t="s">
        <v>0</v>
      </c>
      <c r="D1" t="s">
        <v>12</v>
      </c>
      <c r="E1" s="7" t="s">
        <v>2</v>
      </c>
      <c r="F1" s="7" t="s">
        <v>3</v>
      </c>
      <c r="G1" s="16" t="s">
        <v>16</v>
      </c>
      <c r="I1" t="s">
        <v>21</v>
      </c>
    </row>
    <row r="2" spans="1:9" ht="18">
      <c r="A2">
        <v>1</v>
      </c>
      <c r="B2" s="4" t="s">
        <v>31</v>
      </c>
      <c r="D2">
        <v>100</v>
      </c>
      <c r="E2" s="8" t="s">
        <v>1</v>
      </c>
      <c r="F2" s="8" t="s">
        <v>36</v>
      </c>
      <c r="G2" s="17">
        <v>30000</v>
      </c>
    </row>
    <row r="3" spans="1:9" ht="18">
      <c r="A3">
        <v>2</v>
      </c>
      <c r="B3" s="5" t="s">
        <v>32</v>
      </c>
      <c r="D3">
        <v>101</v>
      </c>
      <c r="E3" s="9" t="s">
        <v>30</v>
      </c>
      <c r="F3" s="9" t="s">
        <v>37</v>
      </c>
      <c r="G3" s="18">
        <v>3000</v>
      </c>
    </row>
    <row r="4" spans="1:9" ht="18">
      <c r="A4">
        <v>3</v>
      </c>
      <c r="B4" s="4" t="s">
        <v>33</v>
      </c>
      <c r="D4">
        <v>102</v>
      </c>
      <c r="E4" s="8" t="s">
        <v>30</v>
      </c>
      <c r="F4" s="8" t="s">
        <v>38</v>
      </c>
      <c r="G4" s="17">
        <v>500</v>
      </c>
    </row>
    <row r="5" spans="1:9" ht="18">
      <c r="B5" s="5"/>
      <c r="E5" s="9"/>
      <c r="F5" s="9"/>
      <c r="G5" s="18"/>
    </row>
    <row r="6" spans="1:9" ht="18">
      <c r="B6" s="4"/>
      <c r="E6" s="8"/>
      <c r="F6" s="8"/>
      <c r="G6" s="17"/>
    </row>
    <row r="7" spans="1:9" ht="18">
      <c r="B7" s="5"/>
      <c r="E7" s="9"/>
      <c r="F7" s="10"/>
      <c r="G7" s="19"/>
    </row>
    <row r="8" spans="1:9" ht="18">
      <c r="B8" s="4"/>
      <c r="E8" s="8"/>
      <c r="F8" s="11"/>
      <c r="G8" s="20"/>
    </row>
    <row r="9" spans="1:9" ht="18">
      <c r="B9" s="5"/>
      <c r="E9" s="9"/>
      <c r="F9" s="10"/>
      <c r="G9" s="19"/>
    </row>
    <row r="10" spans="1:9" ht="18">
      <c r="B10" s="4"/>
      <c r="E10" s="8"/>
      <c r="F10" s="11"/>
      <c r="G10" s="20"/>
    </row>
    <row r="11" spans="1:9" ht="18">
      <c r="B11" s="5"/>
      <c r="E11" s="9"/>
      <c r="F11" s="10"/>
      <c r="G11" s="19"/>
    </row>
    <row r="12" spans="1:9" ht="18">
      <c r="B12" s="4"/>
      <c r="E12" s="8"/>
      <c r="F12" s="11"/>
      <c r="G12" s="20"/>
    </row>
    <row r="13" spans="1:9" ht="18">
      <c r="B13" s="5"/>
      <c r="E13" s="9"/>
      <c r="F13" s="10"/>
      <c r="G13" s="19"/>
    </row>
    <row r="14" spans="1:9" ht="18">
      <c r="B14" s="4"/>
      <c r="E14" s="8"/>
      <c r="F14" s="11"/>
      <c r="G14" s="20"/>
    </row>
    <row r="15" spans="1:9" ht="18">
      <c r="B15" s="5"/>
      <c r="E15" s="9"/>
      <c r="F15" s="10"/>
      <c r="G15" s="19"/>
    </row>
    <row r="16" spans="1:9" ht="18">
      <c r="B16" s="4"/>
      <c r="E16" s="8"/>
      <c r="F16" s="11"/>
      <c r="G16" s="20"/>
    </row>
    <row r="17" spans="2:7" ht="18">
      <c r="B17" s="5"/>
      <c r="E17" s="9"/>
      <c r="F17" s="10"/>
      <c r="G17" s="19"/>
    </row>
    <row r="18" spans="2:7" ht="18">
      <c r="B18" s="4"/>
      <c r="E18" s="8"/>
      <c r="F18" s="11"/>
      <c r="G18" s="20"/>
    </row>
    <row r="19" spans="2:7" ht="18">
      <c r="B19" s="5"/>
      <c r="E19" s="9"/>
      <c r="F19" s="10"/>
      <c r="G19" s="19"/>
    </row>
    <row r="20" spans="2:7" ht="18">
      <c r="B20" s="4"/>
      <c r="E20" s="8"/>
      <c r="F20" s="11"/>
      <c r="G20" s="20"/>
    </row>
    <row r="21" spans="2:7" ht="18">
      <c r="B21" s="5"/>
      <c r="E21" s="9"/>
      <c r="F21" s="10"/>
      <c r="G21" s="19"/>
    </row>
    <row r="22" spans="2:7" ht="18">
      <c r="B22" s="4"/>
      <c r="E22" s="8"/>
      <c r="F22" s="11"/>
      <c r="G22" s="20"/>
    </row>
    <row r="23" spans="2:7" ht="18">
      <c r="B23" s="5"/>
      <c r="E23" s="9"/>
      <c r="F23" s="10"/>
      <c r="G23" s="19"/>
    </row>
    <row r="24" spans="2:7" ht="18">
      <c r="B24" s="4"/>
      <c r="E24" s="8"/>
      <c r="F24" s="11"/>
      <c r="G24" s="20"/>
    </row>
    <row r="25" spans="2:7" ht="18">
      <c r="B25" s="5"/>
      <c r="E25" s="9"/>
      <c r="F25" s="10"/>
      <c r="G25" s="19"/>
    </row>
    <row r="26" spans="2:7" ht="18">
      <c r="B26" s="4"/>
      <c r="E26" s="8"/>
      <c r="F26" s="11"/>
      <c r="G26" s="20"/>
    </row>
    <row r="27" spans="2:7" ht="18">
      <c r="B27" s="5"/>
      <c r="E27" s="9"/>
      <c r="F27" s="10"/>
      <c r="G27" s="19"/>
    </row>
    <row r="28" spans="2:7" ht="18">
      <c r="B28" s="4"/>
      <c r="E28" s="8"/>
      <c r="F28" s="11"/>
      <c r="G28" s="20"/>
    </row>
    <row r="29" spans="2:7" ht="18">
      <c r="B29" s="5"/>
      <c r="E29" s="9"/>
      <c r="F29" s="10"/>
      <c r="G29" s="19"/>
    </row>
    <row r="30" spans="2:7" ht="18">
      <c r="B30" s="4"/>
      <c r="E30" s="8"/>
      <c r="F30" s="11"/>
      <c r="G30" s="20"/>
    </row>
    <row r="31" spans="2:7" ht="18">
      <c r="B31" s="5"/>
      <c r="E31" s="9"/>
      <c r="F31" s="10"/>
      <c r="G31" s="19"/>
    </row>
    <row r="32" spans="2:7" ht="18">
      <c r="B32" s="4"/>
      <c r="E32" s="8"/>
      <c r="F32" s="11"/>
      <c r="G32" s="20"/>
    </row>
    <row r="33" spans="2:7" ht="18">
      <c r="B33" s="5"/>
      <c r="E33" s="9"/>
      <c r="F33" s="10"/>
      <c r="G33" s="19"/>
    </row>
    <row r="34" spans="2:7" ht="18">
      <c r="B34" s="4"/>
      <c r="E34" s="8"/>
      <c r="F34" s="11"/>
      <c r="G34" s="20"/>
    </row>
    <row r="35" spans="2:7" ht="18">
      <c r="B35" s="5"/>
      <c r="E35" s="9"/>
      <c r="F35" s="10"/>
      <c r="G35" s="19"/>
    </row>
    <row r="36" spans="2:7" ht="18">
      <c r="B36" s="4"/>
      <c r="E36" s="8"/>
      <c r="F36" s="11"/>
      <c r="G36" s="20"/>
    </row>
    <row r="37" spans="2:7" ht="18">
      <c r="B37" s="5"/>
      <c r="E37" s="9"/>
      <c r="F37" s="12"/>
      <c r="G37" s="21"/>
    </row>
    <row r="38" spans="2:7" ht="18">
      <c r="B38" s="4"/>
      <c r="E38" s="8"/>
      <c r="F38" s="13"/>
      <c r="G38" s="22"/>
    </row>
    <row r="39" spans="2:7" ht="18">
      <c r="B39" s="5"/>
      <c r="E39" s="9"/>
      <c r="F39" s="12"/>
      <c r="G39" s="21"/>
    </row>
    <row r="40" spans="2:7" ht="18">
      <c r="B40" s="4"/>
      <c r="E40" s="8"/>
      <c r="F40" s="13"/>
      <c r="G40" s="22"/>
    </row>
    <row r="41" spans="2:7" ht="18">
      <c r="B41" s="5"/>
      <c r="E41" s="9"/>
      <c r="F41" s="12"/>
      <c r="G41" s="21"/>
    </row>
    <row r="42" spans="2:7" ht="18">
      <c r="B42" s="4"/>
      <c r="E42" s="8"/>
      <c r="F42" s="13"/>
      <c r="G42" s="22"/>
    </row>
    <row r="43" spans="2:7" ht="18">
      <c r="B43" s="5"/>
      <c r="E43" s="9"/>
      <c r="F43" s="12"/>
      <c r="G43" s="21"/>
    </row>
    <row r="44" spans="2:7" ht="18">
      <c r="B44" s="4"/>
      <c r="E44" s="8"/>
      <c r="F44" s="13"/>
      <c r="G44" s="22"/>
    </row>
    <row r="45" spans="2:7" ht="18">
      <c r="B45" s="5"/>
      <c r="E45" s="9"/>
      <c r="F45" s="12"/>
      <c r="G45" s="21"/>
    </row>
    <row r="46" spans="2:7" ht="18">
      <c r="B46" s="4"/>
      <c r="E46" s="8"/>
      <c r="F46" s="13"/>
      <c r="G46" s="22"/>
    </row>
    <row r="47" spans="2:7" ht="18">
      <c r="B47" s="5"/>
      <c r="E47" s="9"/>
      <c r="F47" s="12"/>
      <c r="G47" s="21"/>
    </row>
    <row r="48" spans="2:7" ht="18">
      <c r="B48" s="4"/>
      <c r="E48" s="8"/>
      <c r="F48" s="13"/>
      <c r="G48" s="22"/>
    </row>
    <row r="49" spans="2:7" ht="18">
      <c r="B49" s="5"/>
      <c r="E49" s="9"/>
      <c r="F49" s="12"/>
      <c r="G49" s="21"/>
    </row>
    <row r="50" spans="2:7" ht="18">
      <c r="B50" s="4"/>
      <c r="E50" s="8"/>
      <c r="F50" s="13"/>
      <c r="G50" s="22"/>
    </row>
    <row r="51" spans="2:7" ht="18">
      <c r="B51" s="5"/>
      <c r="E51" s="9"/>
      <c r="F51" s="12"/>
      <c r="G51" s="21"/>
    </row>
    <row r="52" spans="2:7" ht="18">
      <c r="B52" s="4"/>
      <c r="E52" s="8"/>
      <c r="F52" s="13"/>
      <c r="G52" s="22"/>
    </row>
    <row r="53" spans="2:7" ht="18">
      <c r="B53" s="5"/>
      <c r="E53" s="9"/>
      <c r="F53" s="12"/>
      <c r="G53" s="21"/>
    </row>
    <row r="54" spans="2:7" ht="18">
      <c r="B54" s="4"/>
      <c r="E54" s="8"/>
      <c r="F54" s="13"/>
      <c r="G54" s="22"/>
    </row>
    <row r="55" spans="2:7" ht="18">
      <c r="B55" s="5"/>
      <c r="E55" s="14"/>
      <c r="F55" s="15"/>
      <c r="G55" s="23"/>
    </row>
    <row r="56" spans="2:7" ht="18">
      <c r="B56" s="4"/>
      <c r="E56" s="9"/>
      <c r="F56" s="12"/>
      <c r="G56" s="21"/>
    </row>
    <row r="57" spans="2:7">
      <c r="B57" s="5"/>
    </row>
    <row r="58" spans="2:7">
      <c r="B58" s="4"/>
    </row>
    <row r="59" spans="2:7">
      <c r="B59" s="5"/>
    </row>
    <row r="60" spans="2:7">
      <c r="B60" s="4"/>
    </row>
    <row r="61" spans="2:7">
      <c r="B61" s="5"/>
    </row>
    <row r="62" spans="2:7">
      <c r="B62" s="4"/>
    </row>
    <row r="63" spans="2:7">
      <c r="B63" s="5"/>
    </row>
    <row r="64" spans="2:7">
      <c r="B64" s="4"/>
    </row>
    <row r="65" spans="2:2">
      <c r="B65" s="5"/>
    </row>
    <row r="66" spans="2:2">
      <c r="B66" s="4"/>
    </row>
    <row r="67" spans="2:2">
      <c r="B67" s="5"/>
    </row>
    <row r="68" spans="2:2">
      <c r="B68" s="4"/>
    </row>
    <row r="69" spans="2:2">
      <c r="B69" s="5"/>
    </row>
    <row r="70" spans="2:2">
      <c r="B70" s="4"/>
    </row>
    <row r="71" spans="2:2">
      <c r="B71" s="5"/>
    </row>
    <row r="72" spans="2:2">
      <c r="B72" s="4"/>
    </row>
    <row r="73" spans="2:2">
      <c r="B73" s="5"/>
    </row>
    <row r="74" spans="2:2">
      <c r="B74" s="4"/>
    </row>
    <row r="75" spans="2:2">
      <c r="B75" s="5"/>
    </row>
    <row r="76" spans="2:2">
      <c r="B76" s="4"/>
    </row>
    <row r="77" spans="2:2">
      <c r="B77" s="5"/>
    </row>
    <row r="78" spans="2:2">
      <c r="B78" s="4"/>
    </row>
    <row r="79" spans="2:2">
      <c r="B79" s="5"/>
    </row>
    <row r="80" spans="2:2">
      <c r="B80" s="4"/>
    </row>
    <row r="81" spans="2:2">
      <c r="B81" s="5"/>
    </row>
    <row r="82" spans="2:2">
      <c r="B82" s="4"/>
    </row>
    <row r="83" spans="2:2">
      <c r="B83" s="5"/>
    </row>
    <row r="84" spans="2:2">
      <c r="B84" s="4"/>
    </row>
    <row r="85" spans="2:2">
      <c r="B85" s="5"/>
    </row>
    <row r="86" spans="2:2">
      <c r="B86" s="6"/>
    </row>
  </sheetData>
  <sheetProtection algorithmName="SHA-512" hashValue="mJtdtle8Az9b2l0UrLcxk195W6QqcvTdWEu1A2ucq1dijBGCTljLx7uyJpxOQnnXgbjJXWjk+Tqa8uecfG/Muw==" saltValue="vhjaqHEBfXl9/Ppz0IjXbg==" spinCount="100000" sheet="1" objects="1" scenarios="1"/>
  <protectedRanges>
    <protectedRange sqref="D2:G1048576" name="単価"/>
    <protectedRange sqref="A2:B1048576" name="団体"/>
  </protectedRanges>
  <sortState ref="A2:B84">
    <sortCondition ref="A3"/>
    <sortCondition ref="B3"/>
  </sortState>
  <phoneticPr fontId="2"/>
  <pageMargins left="0.7" right="0.7" top="0.75" bottom="0.75" header="0.3" footer="0.3"/>
  <pageSetup paperSize="9" scale="55" orientation="portrait" r:id="rId1"/>
  <tableParts count="2">
    <tablePart r:id="rId2"/>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FFA69E-7374-48A8-AE53-1CE7ED335F2E}">
  <sheetPr codeName="Sheet3"/>
  <dimension ref="A1:F47"/>
  <sheetViews>
    <sheetView showGridLines="0" workbookViewId="0">
      <selection activeCell="B45" sqref="B45:E45"/>
    </sheetView>
  </sheetViews>
  <sheetFormatPr defaultRowHeight="13"/>
  <cols>
    <col min="1" max="1" width="15.26953125" customWidth="1"/>
    <col min="2" max="2" width="45.81640625" customWidth="1"/>
    <col min="3" max="3" width="25.90625" customWidth="1"/>
    <col min="4" max="4" width="19.1796875" customWidth="1"/>
    <col min="5" max="5" width="33.36328125" customWidth="1"/>
    <col min="6" max="6" width="3.26953125" customWidth="1"/>
  </cols>
  <sheetData>
    <row r="1" spans="1:6" ht="48">
      <c r="A1" s="1"/>
      <c r="B1" s="38" t="s">
        <v>23</v>
      </c>
      <c r="C1" s="37"/>
      <c r="D1" s="66" t="s">
        <v>8</v>
      </c>
      <c r="E1" s="66"/>
      <c r="F1" s="1"/>
    </row>
    <row r="2" spans="1:6" ht="16">
      <c r="A2" s="1"/>
      <c r="B2" t="s">
        <v>25</v>
      </c>
      <c r="C2" s="57"/>
      <c r="D2" s="36"/>
      <c r="E2" s="36"/>
      <c r="F2" s="1"/>
    </row>
    <row r="3" spans="1:6" ht="15">
      <c r="A3" s="1"/>
      <c r="C3" s="58"/>
      <c r="D3" s="39"/>
      <c r="E3" s="40"/>
      <c r="F3" s="1"/>
    </row>
    <row r="4" spans="1:6" ht="16">
      <c r="A4" s="1"/>
      <c r="C4" s="56"/>
      <c r="D4" s="72" t="s">
        <v>34</v>
      </c>
      <c r="E4" s="72"/>
      <c r="F4" s="1"/>
    </row>
    <row r="5" spans="1:6" ht="15">
      <c r="A5" s="1"/>
      <c r="B5" s="64"/>
      <c r="C5" s="64"/>
      <c r="D5" s="40"/>
      <c r="E5" s="41"/>
      <c r="F5" s="1"/>
    </row>
    <row r="6" spans="1:6" ht="15">
      <c r="A6" s="1"/>
      <c r="B6" s="56"/>
      <c r="C6" s="56"/>
      <c r="D6" s="63" t="s">
        <v>20</v>
      </c>
      <c r="E6" s="63"/>
      <c r="F6" s="1"/>
    </row>
    <row r="7" spans="1:6" ht="15">
      <c r="A7" s="1"/>
      <c r="B7" s="64"/>
      <c r="C7" s="64"/>
      <c r="D7" s="40" t="s">
        <v>19</v>
      </c>
      <c r="E7" s="41"/>
      <c r="F7" s="1"/>
    </row>
    <row r="8" spans="1:6" ht="15">
      <c r="A8" s="1"/>
      <c r="B8" s="64"/>
      <c r="C8" s="64"/>
      <c r="D8" s="64"/>
      <c r="E8" s="64"/>
      <c r="F8" s="1"/>
    </row>
    <row r="9" spans="1:6" ht="15">
      <c r="A9" s="1"/>
      <c r="B9" s="71"/>
      <c r="C9" s="71"/>
      <c r="D9" s="41"/>
      <c r="E9" s="41"/>
      <c r="F9" s="1"/>
    </row>
    <row r="10" spans="1:6" ht="29.5" customHeight="1" thickBot="1">
      <c r="A10" s="1"/>
      <c r="D10" s="61" t="s">
        <v>22</v>
      </c>
      <c r="E10" s="62">
        <f>E43</f>
        <v>0</v>
      </c>
      <c r="F10" s="1"/>
    </row>
    <row r="11" spans="1:6" ht="15">
      <c r="A11" s="1"/>
      <c r="B11" s="42"/>
      <c r="C11" s="42"/>
      <c r="D11" s="42"/>
      <c r="E11" s="42"/>
      <c r="F11" s="1"/>
    </row>
    <row r="12" spans="1:6" ht="15">
      <c r="A12" s="1"/>
      <c r="B12" s="59" t="s">
        <v>10</v>
      </c>
      <c r="C12" s="59" t="s">
        <v>27</v>
      </c>
      <c r="D12" s="59" t="s">
        <v>9</v>
      </c>
      <c r="E12" s="60" t="s">
        <v>26</v>
      </c>
      <c r="F12" s="1"/>
    </row>
    <row r="13" spans="1:6" ht="15">
      <c r="A13" s="1"/>
      <c r="B13" s="43"/>
      <c r="C13" s="44"/>
      <c r="D13" s="45"/>
      <c r="E13" s="46"/>
      <c r="F13" s="1"/>
    </row>
    <row r="14" spans="1:6" ht="15">
      <c r="A14" s="2"/>
      <c r="B14" s="43"/>
      <c r="C14" s="44"/>
      <c r="D14" s="47"/>
      <c r="E14" s="46"/>
      <c r="F14" s="2"/>
    </row>
    <row r="15" spans="1:6" ht="15">
      <c r="A15" s="2"/>
      <c r="B15" s="43"/>
      <c r="C15" s="44"/>
      <c r="D15" s="47"/>
      <c r="E15" s="46"/>
      <c r="F15" s="2"/>
    </row>
    <row r="16" spans="1:6" ht="15">
      <c r="A16" s="2"/>
      <c r="B16" s="43"/>
      <c r="C16" s="44"/>
      <c r="D16" s="47"/>
      <c r="E16" s="46"/>
      <c r="F16" s="2"/>
    </row>
    <row r="17" spans="1:6" ht="15">
      <c r="A17" s="2"/>
      <c r="B17" s="43"/>
      <c r="C17" s="44"/>
      <c r="D17" s="47"/>
      <c r="E17" s="46"/>
      <c r="F17" s="2"/>
    </row>
    <row r="18" spans="1:6" ht="15">
      <c r="A18" s="2"/>
      <c r="B18" s="43"/>
      <c r="C18" s="44"/>
      <c r="D18" s="47"/>
      <c r="E18" s="46"/>
      <c r="F18" s="2"/>
    </row>
    <row r="19" spans="1:6" ht="15">
      <c r="A19" s="2"/>
      <c r="B19" s="43"/>
      <c r="C19" s="44"/>
      <c r="D19" s="47"/>
      <c r="E19" s="46"/>
      <c r="F19" s="2"/>
    </row>
    <row r="20" spans="1:6" ht="15">
      <c r="A20" s="2"/>
      <c r="B20" s="43"/>
      <c r="C20" s="44"/>
      <c r="D20" s="47"/>
      <c r="E20" s="46"/>
      <c r="F20" s="2"/>
    </row>
    <row r="21" spans="1:6" ht="15">
      <c r="A21" s="2"/>
      <c r="B21" s="43"/>
      <c r="C21" s="44"/>
      <c r="D21" s="47"/>
      <c r="E21" s="46"/>
      <c r="F21" s="2"/>
    </row>
    <row r="22" spans="1:6" ht="15">
      <c r="A22" s="2"/>
      <c r="B22" s="43"/>
      <c r="C22" s="44"/>
      <c r="D22" s="47"/>
      <c r="E22" s="46"/>
      <c r="F22" s="2"/>
    </row>
    <row r="23" spans="1:6" ht="15">
      <c r="A23" s="2"/>
      <c r="B23" s="43"/>
      <c r="C23" s="44"/>
      <c r="D23" s="47"/>
      <c r="E23" s="46"/>
      <c r="F23" s="2"/>
    </row>
    <row r="24" spans="1:6" ht="15">
      <c r="A24" s="2"/>
      <c r="B24" s="43"/>
      <c r="C24" s="44"/>
      <c r="D24" s="47"/>
      <c r="E24" s="46"/>
      <c r="F24" s="2"/>
    </row>
    <row r="25" spans="1:6" ht="15">
      <c r="A25" s="2"/>
      <c r="B25" s="43"/>
      <c r="C25" s="44"/>
      <c r="D25" s="47"/>
      <c r="E25" s="46"/>
      <c r="F25" s="2"/>
    </row>
    <row r="26" spans="1:6" ht="15">
      <c r="A26" s="2"/>
      <c r="B26" s="43"/>
      <c r="C26" s="44"/>
      <c r="D26" s="47"/>
      <c r="E26" s="46"/>
      <c r="F26" s="2"/>
    </row>
    <row r="27" spans="1:6" ht="15">
      <c r="A27" s="2"/>
      <c r="B27" s="43"/>
      <c r="C27" s="44"/>
      <c r="D27" s="47"/>
      <c r="E27" s="46"/>
      <c r="F27" s="2"/>
    </row>
    <row r="28" spans="1:6" ht="15">
      <c r="A28" s="2"/>
      <c r="B28" s="43"/>
      <c r="C28" s="44"/>
      <c r="D28" s="47"/>
      <c r="E28" s="46"/>
      <c r="F28" s="2"/>
    </row>
    <row r="29" spans="1:6" ht="15">
      <c r="A29" s="1"/>
      <c r="B29" s="43"/>
      <c r="C29" s="44"/>
      <c r="D29" s="45"/>
      <c r="E29" s="46"/>
      <c r="F29" s="1"/>
    </row>
    <row r="30" spans="1:6" ht="15">
      <c r="A30" s="1"/>
      <c r="B30" s="43"/>
      <c r="C30" s="44"/>
      <c r="D30" s="45"/>
      <c r="E30" s="46"/>
      <c r="F30" s="1"/>
    </row>
    <row r="31" spans="1:6" ht="15">
      <c r="A31" s="1"/>
      <c r="B31" s="43"/>
      <c r="C31" s="44"/>
      <c r="D31" s="45"/>
      <c r="E31" s="46"/>
      <c r="F31" s="1"/>
    </row>
    <row r="32" spans="1:6" ht="15">
      <c r="A32" s="1"/>
      <c r="B32" s="43"/>
      <c r="C32" s="44"/>
      <c r="D32" s="45"/>
      <c r="E32" s="46"/>
      <c r="F32" s="1"/>
    </row>
    <row r="33" spans="1:6" ht="15">
      <c r="A33" s="1"/>
      <c r="B33" s="43"/>
      <c r="C33" s="44"/>
      <c r="D33" s="45"/>
      <c r="E33" s="46"/>
      <c r="F33" s="1"/>
    </row>
    <row r="34" spans="1:6" ht="15">
      <c r="A34" s="1"/>
      <c r="B34" s="43"/>
      <c r="C34" s="44"/>
      <c r="D34" s="45"/>
      <c r="E34" s="46"/>
      <c r="F34" s="1"/>
    </row>
    <row r="35" spans="1:6" ht="15">
      <c r="A35" s="1"/>
      <c r="B35" s="43"/>
      <c r="C35" s="44"/>
      <c r="D35" s="45"/>
      <c r="E35" s="46"/>
      <c r="F35" s="1"/>
    </row>
    <row r="36" spans="1:6" ht="15">
      <c r="A36" s="1"/>
      <c r="B36" s="43"/>
      <c r="C36" s="44"/>
      <c r="D36" s="45"/>
      <c r="E36" s="46"/>
      <c r="F36" s="1"/>
    </row>
    <row r="37" spans="1:6" ht="15">
      <c r="A37" s="2"/>
      <c r="B37" s="43"/>
      <c r="C37" s="44"/>
      <c r="D37" s="47"/>
      <c r="E37" s="46"/>
      <c r="F37" s="2"/>
    </row>
    <row r="38" spans="1:6" ht="15">
      <c r="A38" s="2"/>
      <c r="B38" s="43"/>
      <c r="C38" s="44"/>
      <c r="D38" s="47"/>
      <c r="E38" s="46"/>
      <c r="F38" s="2"/>
    </row>
    <row r="39" spans="1:6" ht="15">
      <c r="A39" s="2"/>
      <c r="B39" s="43"/>
      <c r="C39" s="44"/>
      <c r="D39" s="47"/>
      <c r="E39" s="46"/>
      <c r="F39" s="2"/>
    </row>
    <row r="40" spans="1:6" ht="15">
      <c r="A40" s="2"/>
      <c r="B40" s="43"/>
      <c r="C40" s="44"/>
      <c r="D40" s="47"/>
      <c r="E40" s="46"/>
      <c r="F40" s="2"/>
    </row>
    <row r="41" spans="1:6" ht="15">
      <c r="A41" s="2"/>
      <c r="B41" s="43"/>
      <c r="C41" s="44"/>
      <c r="D41" s="47"/>
      <c r="E41" s="46"/>
      <c r="F41" s="2"/>
    </row>
    <row r="42" spans="1:6" ht="15">
      <c r="A42" s="2"/>
      <c r="B42" s="49"/>
      <c r="C42" s="50"/>
      <c r="D42" s="51"/>
      <c r="E42" s="52"/>
      <c r="F42" s="1"/>
    </row>
    <row r="43" spans="1:6" ht="15.5" thickBot="1">
      <c r="A43" s="1"/>
      <c r="B43" s="53"/>
      <c r="C43" s="53"/>
      <c r="D43" s="54" t="s">
        <v>24</v>
      </c>
      <c r="E43" s="55">
        <f>SUM(template!$E$13:$E$42)</f>
        <v>0</v>
      </c>
      <c r="F43" s="1"/>
    </row>
    <row r="44" spans="1:6" ht="15">
      <c r="A44" s="1"/>
      <c r="B44" s="67"/>
      <c r="C44" s="67"/>
      <c r="D44" s="67"/>
      <c r="E44" s="67"/>
      <c r="F44" s="1"/>
    </row>
    <row r="45" spans="1:6" ht="15">
      <c r="A45" s="1"/>
      <c r="B45" s="68" t="s">
        <v>35</v>
      </c>
      <c r="C45" s="69"/>
      <c r="D45" s="69"/>
      <c r="E45" s="70"/>
      <c r="F45" s="1"/>
    </row>
    <row r="46" spans="1:6" ht="15.5" customHeight="1">
      <c r="A46" s="1"/>
      <c r="B46" s="48"/>
      <c r="C46" s="48"/>
      <c r="D46" s="65" t="s">
        <v>18</v>
      </c>
      <c r="E46" s="65"/>
      <c r="F46" s="1"/>
    </row>
    <row r="47" spans="1:6" ht="15">
      <c r="A47" s="1"/>
    </row>
  </sheetData>
  <mergeCells count="11">
    <mergeCell ref="D6:E6"/>
    <mergeCell ref="D8:E8"/>
    <mergeCell ref="D46:E46"/>
    <mergeCell ref="D1:E1"/>
    <mergeCell ref="B44:E44"/>
    <mergeCell ref="B45:E45"/>
    <mergeCell ref="B5:C5"/>
    <mergeCell ref="B7:C7"/>
    <mergeCell ref="B8:C8"/>
    <mergeCell ref="B9:C9"/>
    <mergeCell ref="D4:E4"/>
  </mergeCell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ワークシート</vt:lpstr>
      </vt:variant>
      <vt:variant>
        <vt:i4>3</vt:i4>
      </vt:variant>
      <vt:variant>
        <vt:lpstr>名前付き一覧</vt:lpstr>
      </vt:variant>
      <vt:variant>
        <vt:i4>1</vt:i4>
      </vt:variant>
    </vt:vector>
  </HeadingPairs>
  <TitlesOfParts>
    <vt:vector size="4" baseType="lpstr">
      <vt:lpstr>record</vt:lpstr>
      <vt:lpstr>data</vt:lpstr>
      <vt:lpstr>template</vt:lpstr>
      <vt:lpstr>Company_Name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Penguin</dc:creator>
  <cp:lastModifiedBy>酒井啓輔</cp:lastModifiedBy>
  <cp:lastPrinted>2018-10-03T11:27:58Z</cp:lastPrinted>
  <dcterms:created xsi:type="dcterms:W3CDTF">2018-05-02T09:10:35Z</dcterms:created>
  <dcterms:modified xsi:type="dcterms:W3CDTF">2018-12-09T03:59:49Z</dcterms:modified>
</cp:coreProperties>
</file>